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A9FD198-3733-4A9B-94F3-1AF5445CA4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in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2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A184" i="2"/>
  <c r="A141" i="2"/>
  <c r="A73" i="2"/>
  <c r="A27" i="2"/>
</calcChain>
</file>

<file path=xl/sharedStrings.xml><?xml version="1.0" encoding="utf-8"?>
<sst xmlns="http://schemas.openxmlformats.org/spreadsheetml/2006/main" count="1680" uniqueCount="383">
  <si>
    <t>video_id</t>
  </si>
  <si>
    <t>channel_title</t>
  </si>
  <si>
    <t>edureka!</t>
  </si>
  <si>
    <t>34</t>
  </si>
  <si>
    <t>63</t>
  </si>
  <si>
    <t>2</t>
  </si>
  <si>
    <t>codebasics</t>
  </si>
  <si>
    <t>27</t>
  </si>
  <si>
    <t>58</t>
  </si>
  <si>
    <t>13</t>
  </si>
  <si>
    <t>Anwar Haq</t>
  </si>
  <si>
    <t>25</t>
  </si>
  <si>
    <t>56</t>
  </si>
  <si>
    <t>18</t>
  </si>
  <si>
    <t>KaaShiv InfoTech</t>
  </si>
  <si>
    <t>75</t>
  </si>
  <si>
    <t>0</t>
  </si>
  <si>
    <t>12</t>
  </si>
  <si>
    <t>80</t>
  </si>
  <si>
    <t>8</t>
  </si>
  <si>
    <t>0RkaxgRqegw</t>
  </si>
  <si>
    <t>Natassha Selvaraj</t>
  </si>
  <si>
    <t>1sQDJSQBUe4</t>
  </si>
  <si>
    <t>Luke Barousse</t>
  </si>
  <si>
    <t>44</t>
  </si>
  <si>
    <t>10</t>
  </si>
  <si>
    <t>1upvLCpSLBM</t>
  </si>
  <si>
    <t>BEPEC</t>
  </si>
  <si>
    <t>100</t>
  </si>
  <si>
    <t>24J7Cir0Dvo</t>
  </si>
  <si>
    <t>Intellipaat</t>
  </si>
  <si>
    <t>5</t>
  </si>
  <si>
    <t>76</t>
  </si>
  <si>
    <t>17</t>
  </si>
  <si>
    <t>2oOEctI1Uzo</t>
  </si>
  <si>
    <t>Jean Lee</t>
  </si>
  <si>
    <t>40</t>
  </si>
  <si>
    <t>20</t>
  </si>
  <si>
    <t>3O-uRFt9zeI</t>
  </si>
  <si>
    <t>6</t>
  </si>
  <si>
    <t>3QV37pVP-CI</t>
  </si>
  <si>
    <t>CareerFoundry</t>
  </si>
  <si>
    <t>50</t>
  </si>
  <si>
    <t>61</t>
  </si>
  <si>
    <t>33</t>
  </si>
  <si>
    <t>4</t>
  </si>
  <si>
    <t>4DlsTsqpY84</t>
  </si>
  <si>
    <t>Google Career Certificates</t>
  </si>
  <si>
    <t>43</t>
  </si>
  <si>
    <t>39</t>
  </si>
  <si>
    <t>16</t>
  </si>
  <si>
    <t>4VENens_ZU8</t>
  </si>
  <si>
    <t>Simplilearn</t>
  </si>
  <si>
    <t>4mnzI59VlgU</t>
  </si>
  <si>
    <t>4rPOvlQv-10</t>
  </si>
  <si>
    <t>The Street Wire</t>
  </si>
  <si>
    <t>69</t>
  </si>
  <si>
    <t>24</t>
  </si>
  <si>
    <t>5K60zzEQ5vk</t>
  </si>
  <si>
    <t>Jovian</t>
  </si>
  <si>
    <t>5x3hnmU-OSU</t>
  </si>
  <si>
    <t>Sundas Khalid</t>
  </si>
  <si>
    <t>53</t>
  </si>
  <si>
    <t>36</t>
  </si>
  <si>
    <t>61z-8HDO5QQ</t>
  </si>
  <si>
    <t>66</t>
  </si>
  <si>
    <t>6FjXcNt5FrA</t>
  </si>
  <si>
    <t>Sajjaad Khader</t>
  </si>
  <si>
    <t>6Fr-HAzyyzA</t>
  </si>
  <si>
    <t>62</t>
  </si>
  <si>
    <t>6qx0yntKpd4</t>
  </si>
  <si>
    <t>DataMites</t>
  </si>
  <si>
    <t>6rYVt_2q_BM</t>
  </si>
  <si>
    <t>46</t>
  </si>
  <si>
    <t>7NhbUyHyBfo</t>
  </si>
  <si>
    <t>26</t>
  </si>
  <si>
    <t>8YbeH4vYtrM</t>
  </si>
  <si>
    <t>83</t>
  </si>
  <si>
    <t>8ZI55Inh1_A</t>
  </si>
  <si>
    <t>8beNeAvdWDE</t>
  </si>
  <si>
    <t>9</t>
  </si>
  <si>
    <t>29</t>
  </si>
  <si>
    <t>7</t>
  </si>
  <si>
    <t>8r9Jxeog7T0</t>
  </si>
  <si>
    <t>Hire Ready</t>
  </si>
  <si>
    <t>22</t>
  </si>
  <si>
    <t>90VmkzCs1Kw</t>
  </si>
  <si>
    <t>48</t>
  </si>
  <si>
    <t>30</t>
  </si>
  <si>
    <t>CodeWithHarry</t>
  </si>
  <si>
    <t>14</t>
  </si>
  <si>
    <t>9OA757v4FAM</t>
  </si>
  <si>
    <t>52</t>
  </si>
  <si>
    <t>42</t>
  </si>
  <si>
    <t>9Ql_Lr7nQN4</t>
  </si>
  <si>
    <t>9R3X0JoCLyU</t>
  </si>
  <si>
    <t>Programming with Mosh</t>
  </si>
  <si>
    <t>9qqkbPqFq3Q</t>
  </si>
  <si>
    <t>Coursera</t>
  </si>
  <si>
    <t>AMfBqFcuuyk</t>
  </si>
  <si>
    <t>71</t>
  </si>
  <si>
    <t>15</t>
  </si>
  <si>
    <t>AtRMR2IKELM</t>
  </si>
  <si>
    <t>72</t>
  </si>
  <si>
    <t>B1BngJDZPfw</t>
  </si>
  <si>
    <t>Data with Zach</t>
  </si>
  <si>
    <t>31</t>
  </si>
  <si>
    <t>BF9yShzrok0</t>
  </si>
  <si>
    <t>84</t>
  </si>
  <si>
    <t>C5kvx8J3010</t>
  </si>
  <si>
    <t>60</t>
  </si>
  <si>
    <t>CKsuUIBW6iU</t>
  </si>
  <si>
    <t>90</t>
  </si>
  <si>
    <t>DDJaJJT_jPw</t>
  </si>
  <si>
    <t>365 Data Science</t>
  </si>
  <si>
    <t>E4pB8CDPklE</t>
  </si>
  <si>
    <t>54</t>
  </si>
  <si>
    <t>EZ_KDKoBBb4</t>
  </si>
  <si>
    <t>Visual Studio Code</t>
  </si>
  <si>
    <t>55</t>
  </si>
  <si>
    <t>EeXoHhUdO8Q</t>
  </si>
  <si>
    <t>51</t>
  </si>
  <si>
    <t>32</t>
  </si>
  <si>
    <t>EkFM8hBBZLw</t>
  </si>
  <si>
    <t>Ep7_U4UDBAs</t>
  </si>
  <si>
    <t>64</t>
  </si>
  <si>
    <t>F25knulvz-A</t>
  </si>
  <si>
    <t>Charlotte Chaze | Break Into Tech</t>
  </si>
  <si>
    <t>FTpmwX94_Yo</t>
  </si>
  <si>
    <t>freeCodeCamp.org</t>
  </si>
  <si>
    <t>FsSrzmRawUg</t>
  </si>
  <si>
    <t>Steve Brunton</t>
  </si>
  <si>
    <t>GhFgnkLPZj4</t>
  </si>
  <si>
    <t>Egor Howell</t>
  </si>
  <si>
    <t>28</t>
  </si>
  <si>
    <t>HrRA67O-QXI</t>
  </si>
  <si>
    <t>65</t>
  </si>
  <si>
    <t>HsjErdmLmxo</t>
  </si>
  <si>
    <t>59</t>
  </si>
  <si>
    <t>J5c70VVA9bU</t>
  </si>
  <si>
    <t>Great Learning</t>
  </si>
  <si>
    <t>JIbfzmt2LuY</t>
  </si>
  <si>
    <t>Apna College</t>
  </si>
  <si>
    <t>73</t>
  </si>
  <si>
    <t>JL_grPUnXzY</t>
  </si>
  <si>
    <t>70</t>
  </si>
  <si>
    <t>JwSS70SZdyM</t>
  </si>
  <si>
    <t>KZgd2UiapE0</t>
  </si>
  <si>
    <t>KxryzSO1Fjs</t>
  </si>
  <si>
    <t>L5bxMgXEfTw</t>
  </si>
  <si>
    <t>LHBE6Q9XlzI</t>
  </si>
  <si>
    <t>LVrRpjmgfgc</t>
  </si>
  <si>
    <t>Analytics Vidhya</t>
  </si>
  <si>
    <t>LZzq1zSL1bs</t>
  </si>
  <si>
    <t>Krish Naik</t>
  </si>
  <si>
    <t>LjcMTj2UeSg</t>
  </si>
  <si>
    <t>LxyudhEl8pE</t>
  </si>
  <si>
    <t>Darshil Parmar</t>
  </si>
  <si>
    <t>MDDakzhv3_8</t>
  </si>
  <si>
    <t>N6BghzuFLIg</t>
  </si>
  <si>
    <t>OJyCtg6cdto</t>
  </si>
  <si>
    <t>OKU32_-2X5A</t>
  </si>
  <si>
    <t>OQnvWsYl9rc</t>
  </si>
  <si>
    <t>57</t>
  </si>
  <si>
    <t>OSouzugoOXs</t>
  </si>
  <si>
    <t>OivTPt5LQh0</t>
  </si>
  <si>
    <t>77</t>
  </si>
  <si>
    <t>PFPt6PQNslE</t>
  </si>
  <si>
    <t>74</t>
  </si>
  <si>
    <t>PLVmp1V7kIY</t>
  </si>
  <si>
    <t>PXj2ctBw3js</t>
  </si>
  <si>
    <t>Anshul Sethi</t>
  </si>
  <si>
    <t>PcYZyb93Peg</t>
  </si>
  <si>
    <t>QHystzb6iYo</t>
  </si>
  <si>
    <t>Marina Wyss - AI &amp; Machine Learning</t>
  </si>
  <si>
    <t>RBSUwFGa6Fk</t>
  </si>
  <si>
    <t>IBM Technology</t>
  </si>
  <si>
    <t>RCbz5SoEIG0</t>
  </si>
  <si>
    <t>RaQf6cRyHBY</t>
  </si>
  <si>
    <t>RbSwB3u6zrs</t>
  </si>
  <si>
    <t>What's AI by Louis-François Bouchard</t>
  </si>
  <si>
    <t>S7IDZnvxSV0</t>
  </si>
  <si>
    <t>S8nflqR8mkI</t>
  </si>
  <si>
    <t>TRVWp3c1Em8</t>
  </si>
  <si>
    <t>TWjv4j1g02g</t>
  </si>
  <si>
    <t>Maggie In Data</t>
  </si>
  <si>
    <t>TzFjdjvUMTs</t>
  </si>
  <si>
    <t>Tech Stories in 2 Minutes</t>
  </si>
  <si>
    <t>UF7C3HoT4k0</t>
  </si>
  <si>
    <t>UeqBOpopz1k</t>
  </si>
  <si>
    <t>11</t>
  </si>
  <si>
    <t>UiV7wf36je0</t>
  </si>
  <si>
    <t>Eye on Tech</t>
  </si>
  <si>
    <t>Up6KLx3m2ww</t>
  </si>
  <si>
    <t>88</t>
  </si>
  <si>
    <t>VbB9irtpoDc</t>
  </si>
  <si>
    <t>VwEHYvgK3fs</t>
  </si>
  <si>
    <t>Vxw0nE1qfZc</t>
  </si>
  <si>
    <t>38</t>
  </si>
  <si>
    <t>WOazgGn_0ew</t>
  </si>
  <si>
    <t>Mo Chen</t>
  </si>
  <si>
    <t>WU-UrrP2OWU</t>
  </si>
  <si>
    <t>X7P2Yi-OU50</t>
  </si>
  <si>
    <t>XU5pw3QRYjQ</t>
  </si>
  <si>
    <t>XbiZLYT1-_8</t>
  </si>
  <si>
    <t>Rob Mulla</t>
  </si>
  <si>
    <t>XtYpxjTawVE</t>
  </si>
  <si>
    <t>YC2dq5lwE2o</t>
  </si>
  <si>
    <t>YJCeA8cUC90</t>
  </si>
  <si>
    <t>YMnqPTLoj7o</t>
  </si>
  <si>
    <t>TEDx Talks</t>
  </si>
  <si>
    <t>YRJbhFLLPyE</t>
  </si>
  <si>
    <t>41</t>
  </si>
  <si>
    <t>YsRDM6eoRq8</t>
  </si>
  <si>
    <t>ZfBOYJgCTKA</t>
  </si>
  <si>
    <t>_4RVudwQL38</t>
  </si>
  <si>
    <t>3</t>
  </si>
  <si>
    <t>aGu0fbkHhek</t>
  </si>
  <si>
    <t>aYBAYmnnhYk</t>
  </si>
  <si>
    <t>ax_NNtpSb0c</t>
  </si>
  <si>
    <t>bQZk18rke2o</t>
  </si>
  <si>
    <t>bd8dRl-P_XI</t>
  </si>
  <si>
    <t>87</t>
  </si>
  <si>
    <t>biJHe3M4kIU</t>
  </si>
  <si>
    <t>Kedeisha Bryan - Your Data Career Coach</t>
  </si>
  <si>
    <t>blMufq1s29I</t>
  </si>
  <si>
    <t>SCALER</t>
  </si>
  <si>
    <t>cfHp0vvT0YM</t>
  </si>
  <si>
    <t>cl1H0gY0mVo</t>
  </si>
  <si>
    <t>d8ob3mdgqBI</t>
  </si>
  <si>
    <t>dcXqhMqhZUo</t>
  </si>
  <si>
    <t>dwKpevJufDo</t>
  </si>
  <si>
    <t>The Incubator Hub</t>
  </si>
  <si>
    <t>eGrZAxjcIhk</t>
  </si>
  <si>
    <t>fOqPWQ28s20</t>
  </si>
  <si>
    <t>fjeIV24tfCg</t>
  </si>
  <si>
    <t>fx5GP00IcHs</t>
  </si>
  <si>
    <t>35</t>
  </si>
  <si>
    <t>hfLy1c2e4CE</t>
  </si>
  <si>
    <t>iJUzouXg5kY</t>
  </si>
  <si>
    <t>iMfg6Qtj8hA</t>
  </si>
  <si>
    <t>iO_oxGsaBaU</t>
  </si>
  <si>
    <t>Emma Ding</t>
  </si>
  <si>
    <t>jZGWOUNeiFY</t>
  </si>
  <si>
    <t>kDR-v7wps7o</t>
  </si>
  <si>
    <t>INTTRVU</t>
  </si>
  <si>
    <t>kPzSrM_mlUQ</t>
  </si>
  <si>
    <t>knDa_r4Nggw</t>
  </si>
  <si>
    <t>Top Universities</t>
  </si>
  <si>
    <t>lGToag98-8k</t>
  </si>
  <si>
    <t>86</t>
  </si>
  <si>
    <t>lexSdX1XjYQ</t>
  </si>
  <si>
    <t>DecisionForest</t>
  </si>
  <si>
    <t>mkv5mxYu0Wk</t>
  </si>
  <si>
    <t>ms1n039WShY</t>
  </si>
  <si>
    <t>nI3YDvOmo3A</t>
  </si>
  <si>
    <t>Tim Joo</t>
  </si>
  <si>
    <t>ncTHTN2_bZM</t>
  </si>
  <si>
    <t>o3DU3iWXTP0</t>
  </si>
  <si>
    <t>oFkygFxJ9js</t>
  </si>
  <si>
    <t>oxx-EuXWP-Q</t>
  </si>
  <si>
    <t>pWWooQr_3ok</t>
  </si>
  <si>
    <t>ph439t-kTIE</t>
  </si>
  <si>
    <t>q1DWEkcFu38</t>
  </si>
  <si>
    <t>qHsGPCgk6UY</t>
  </si>
  <si>
    <t>r1xphxV7rfw</t>
  </si>
  <si>
    <t>Khoury College of Computer Sciences</t>
  </si>
  <si>
    <t>rMvkRQGRjMM</t>
  </si>
  <si>
    <t>rQo1vkCe8OE</t>
  </si>
  <si>
    <t>rs2TT5d-onY</t>
  </si>
  <si>
    <t>Salary Transparent Street</t>
  </si>
  <si>
    <t>ruDfwMFpUh0</t>
  </si>
  <si>
    <t>sD468LfeVdc</t>
  </si>
  <si>
    <t>sDlH-YPXd0A</t>
  </si>
  <si>
    <t>Sahil &amp; Sarra</t>
  </si>
  <si>
    <t>sOZ8MxFw8TQ</t>
  </si>
  <si>
    <t>Tina Huang</t>
  </si>
  <si>
    <t>sqFY7elv-mI</t>
  </si>
  <si>
    <t>Avery Smith | Data Analyst</t>
  </si>
  <si>
    <t>t8JRidxZCXU</t>
  </si>
  <si>
    <t>u2zsY-2uZiE</t>
  </si>
  <si>
    <t>u8ABLLK3-z0</t>
  </si>
  <si>
    <t>Data with Baraa</t>
  </si>
  <si>
    <t>uEfvSWM49pY</t>
  </si>
  <si>
    <t>uFTd2b23GvI</t>
  </si>
  <si>
    <t>Thu Vu</t>
  </si>
  <si>
    <t>uLIQ014gWcA</t>
  </si>
  <si>
    <t>ua-CiDNNj30</t>
  </si>
  <si>
    <t>uakGF0DP-mk</t>
  </si>
  <si>
    <t>ungiC5ugka8</t>
  </si>
  <si>
    <t>urNjaNCY1mw</t>
  </si>
  <si>
    <t>v-jPiFqTOsg</t>
  </si>
  <si>
    <t>Ishan Sharma</t>
  </si>
  <si>
    <t>vFMmtQCaX0I</t>
  </si>
  <si>
    <t>Lore So What</t>
  </si>
  <si>
    <t>vtCwJKUhizg</t>
  </si>
  <si>
    <t>vwCK7WA5Z_E</t>
  </si>
  <si>
    <t>89</t>
  </si>
  <si>
    <t>wjX7NrslukE</t>
  </si>
  <si>
    <t>x60LqaZrfzg</t>
  </si>
  <si>
    <t>xC-c7E5PK0Y</t>
  </si>
  <si>
    <t>Joma Tech</t>
  </si>
  <si>
    <t>xPh5ihBWang</t>
  </si>
  <si>
    <t>xQc0e9OMd7s</t>
  </si>
  <si>
    <t>y7xbHtFostg</t>
  </si>
  <si>
    <t>Shaw Talebi</t>
  </si>
  <si>
    <t>yz64p4uDBmI</t>
  </si>
  <si>
    <t>z8kAQPEVanw</t>
  </si>
  <si>
    <t>channel_id</t>
  </si>
  <si>
    <t>overall_score</t>
  </si>
  <si>
    <t>technical_depth</t>
  </si>
  <si>
    <t>clarity</t>
  </si>
  <si>
    <t>practical_value</t>
  </si>
  <si>
    <t>structure</t>
  </si>
  <si>
    <t>engagement</t>
  </si>
  <si>
    <t>word_count</t>
  </si>
  <si>
    <t>UCsvqVGtbbyHaMoevxPAq9Fg</t>
  </si>
  <si>
    <t>UCCktnahuRFYIBtNnKT5IYyg</t>
  </si>
  <si>
    <t>UCZf_9SblvM8iTTkouFEcHtA</t>
  </si>
  <si>
    <t>UCkw4JCwteGrDHIsyIIKo4tQ</t>
  </si>
  <si>
    <t>UCkcqmxjMXaBb0kDWqqSEU1g</t>
  </si>
  <si>
    <t>UC8_RSKwbU1OmZWNEoLV1tQg</t>
  </si>
  <si>
    <t>UC8butISFwT-Wl7EV0hUK0BQ</t>
  </si>
  <si>
    <t>UCEBpSZhI1X8WaP-kY_2LLcg</t>
  </si>
  <si>
    <t>UC9Tl0-lzeDPH4y7LcRwRSQA</t>
  </si>
  <si>
    <t>UCs5Y5_7XK8HLDX0SLNwkd3w</t>
  </si>
  <si>
    <t>UCh9nVJoWXmFb7sLApWGcLPQ</t>
  </si>
  <si>
    <t>UC7zZ2-Q_oxbUaoMVL0z51wg</t>
  </si>
  <si>
    <t>UCWv7vMbMWH4-V0ZXdmDpPBA</t>
  </si>
  <si>
    <t>UCLLw7jmFsvfIVaUFsLs8mlQ</t>
  </si>
  <si>
    <t>UCKWaEZ-_VweaEx1j62do_vQ</t>
  </si>
  <si>
    <t>UCJQJAI7IjbLcpsjWdSzYz0Q</t>
  </si>
  <si>
    <t>UCAWsBMQY4KSuOuGODki-l7A</t>
  </si>
  <si>
    <t>UCtoNXlIegvxkvf5Ji8S57Ag</t>
  </si>
  <si>
    <t>UC9JWnvl5ZjZv09F5RqiLptw</t>
  </si>
  <si>
    <t>UCRdJBGp9r9ORl3Svd053IHA</t>
  </si>
  <si>
    <t>UCsT0YIqwnpJCM-mx7-gSA4Q</t>
  </si>
  <si>
    <t>UCYA8cEWaqrpB4olR5533p5Q</t>
  </si>
  <si>
    <t>UCteRPiisgIoHtMgqHegpWAQ</t>
  </si>
  <si>
    <t>UCObs0kLIrDjX2LLSybqNaEA</t>
  </si>
  <si>
    <t>UCJa8Lz7Ps1UmqRXKR6NOFtw</t>
  </si>
  <si>
    <t>UCRsjR0vJxD0ufV90B9WX8lA</t>
  </si>
  <si>
    <t>UCY6N8zZhs2V7gNTUxPuKWoQ</t>
  </si>
  <si>
    <t>UCeVMnSShP_Iviwkknt83cww</t>
  </si>
  <si>
    <t>UCV0qA-eDDICsRR9rPcnG7tw</t>
  </si>
  <si>
    <t>UCBwmMxybNva6P_5VmxjzwqA</t>
  </si>
  <si>
    <t>UCm5mt-A4w61lknZ9lCsZtBw</t>
  </si>
  <si>
    <t>UC_fyAp919RnkKmBrMXGwnUQ</t>
  </si>
  <si>
    <t>UCNU_lfiiWBdtULKOw6X0Dig</t>
  </si>
  <si>
    <t>UCaDeziWjjPT2Q-Hz4BrmcbA</t>
  </si>
  <si>
    <t>UC2UXDak6o7rBm23k3Vv5dww</t>
  </si>
  <si>
    <t>UCChmJrVa8kDg05JfCmxpLRw</t>
  </si>
  <si>
    <t>UC-e2aGRMGMl67MDJoqcj19Q</t>
  </si>
  <si>
    <t>UCn1USB9-5UqKJTSHd1JGcVw</t>
  </si>
  <si>
    <t>UCuyfszBAd3gUt9vAbC1dfqA</t>
  </si>
  <si>
    <t>UChz4r4VXwPxTqx083Am0IeQ</t>
  </si>
  <si>
    <t>UCDybamfye5An6p-j1t2YMsg</t>
  </si>
  <si>
    <t>UCxladMszXan-jfgzyeIMyvw</t>
  </si>
  <si>
    <t>UCWB6r6WZT1Q7dd_gK-yHCMA</t>
  </si>
  <si>
    <t>UCZ50rYSkYQG31YDEJm9Di_g</t>
  </si>
  <si>
    <t>UCH6gDteHtH4hg3o2343iObA</t>
  </si>
  <si>
    <t>UCHEEZf5xSxfQD_t0o0pUaaw</t>
  </si>
  <si>
    <t>UCjvMTgaYGYwvS3HpQJo4edQ</t>
  </si>
  <si>
    <t>UCelp2mfpa0fors7HePAodoA</t>
  </si>
  <si>
    <t>UCkR95L-wEZ6ClrPzqDPsiwA</t>
  </si>
  <si>
    <t>UCAq9f7jFEA7Mtl3qOZy2h1A</t>
  </si>
  <si>
    <t>UCHz35rvIKf2CMqj7oiMv9WQ</t>
  </si>
  <si>
    <t>UCUzGQrN-lyyc0BWTYoJM_Sg</t>
  </si>
  <si>
    <t>UCmKaoNn0OvxVAe7f_8sXYNQ</t>
  </si>
  <si>
    <t>UCOQDdjPiHB1X6MJSPNdr1ng</t>
  </si>
  <si>
    <t>UCfsND7mZbiAbqZYjyT5V26g</t>
  </si>
  <si>
    <t>UCzAF54cHk1ZO82af-8E3qOQ</t>
  </si>
  <si>
    <t>UCGPjzyzRdvg2RxfWVWOzsDA</t>
  </si>
  <si>
    <t>UCa9gErQ9AE5jT2DZLjXBIdA</t>
  </si>
  <si>
    <t>UCSuSMflMkn4yH9QA5vzsDyA</t>
  </si>
  <si>
    <t>UCBEAb12YsBDcCtdfxNWzNHQ</t>
  </si>
  <si>
    <t>UCpbMQO3wyA-vfYiCiIGB8Iw</t>
  </si>
  <si>
    <t>UCgeOgQcMFGlWUuCe_xAGUeg</t>
  </si>
  <si>
    <t xml:space="preserve">Career With Riwas </t>
  </si>
  <si>
    <t>UC2MYZHG8a56u4REI2RedtRA</t>
  </si>
  <si>
    <t>positive</t>
  </si>
  <si>
    <t>negative</t>
  </si>
  <si>
    <t>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</si>
</sst>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7"/>
  <sheetViews>
    <sheetView tabSelected="1" workbookViewId="0">
      <selection activeCell="E4" sqref="E4"/>
    </sheetView>
  </sheetViews>
  <sheetFormatPr defaultRowHeight="15" x14ac:dyDescent="0.25"/>
  <cols>
    <col min="2" max="2" width="17.42578125" customWidth="1"/>
    <col min="3" max="3" width="18" customWidth="1"/>
    <col min="5" max="5" width="19.42578125" customWidth="1"/>
  </cols>
  <sheetData>
    <row r="1" spans="1:13" x14ac:dyDescent="0.25">
      <c r="A1" s="1" t="s">
        <v>0</v>
      </c>
      <c r="B1" s="1" t="s">
        <v>308</v>
      </c>
      <c r="C1" s="1" t="s">
        <v>1</v>
      </c>
      <c r="D1" s="1" t="s">
        <v>309</v>
      </c>
      <c r="E1" s="1" t="s">
        <v>310</v>
      </c>
      <c r="F1" t="s">
        <v>311</v>
      </c>
      <c r="G1" t="s">
        <v>312</v>
      </c>
      <c r="H1" t="s">
        <v>313</v>
      </c>
      <c r="I1" t="s">
        <v>314</v>
      </c>
      <c r="J1" t="s">
        <v>315</v>
      </c>
      <c r="K1" t="s">
        <v>380</v>
      </c>
      <c r="L1" t="s">
        <v>382</v>
      </c>
      <c r="M1" t="s">
        <v>381</v>
      </c>
    </row>
    <row r="2" spans="1:13" x14ac:dyDescent="0.25">
      <c r="A2" t="s">
        <v>51</v>
      </c>
      <c r="B2" t="s">
        <v>316</v>
      </c>
      <c r="C2" t="s">
        <v>52</v>
      </c>
      <c r="D2">
        <v>79.2</v>
      </c>
      <c r="E2">
        <v>94</v>
      </c>
      <c r="F2">
        <v>80</v>
      </c>
      <c r="G2">
        <v>75</v>
      </c>
      <c r="H2">
        <v>84</v>
      </c>
      <c r="I2">
        <v>63</v>
      </c>
      <c r="J2">
        <v>743</v>
      </c>
      <c r="K2" t="s">
        <v>16</v>
      </c>
      <c r="L2" t="s">
        <v>28</v>
      </c>
      <c r="M2" t="s">
        <v>16</v>
      </c>
    </row>
    <row r="3" spans="1:13" x14ac:dyDescent="0.25">
      <c r="A3" t="s">
        <v>261</v>
      </c>
      <c r="B3" t="s">
        <v>317</v>
      </c>
      <c r="C3" t="s">
        <v>30</v>
      </c>
      <c r="D3">
        <v>78.8</v>
      </c>
      <c r="E3">
        <v>88</v>
      </c>
      <c r="F3">
        <v>75</v>
      </c>
      <c r="G3">
        <v>70</v>
      </c>
      <c r="H3">
        <v>84</v>
      </c>
      <c r="I3">
        <v>77</v>
      </c>
      <c r="J3">
        <v>801</v>
      </c>
      <c r="K3" t="s">
        <v>134</v>
      </c>
      <c r="L3" t="s">
        <v>163</v>
      </c>
      <c r="M3" t="s">
        <v>90</v>
      </c>
    </row>
    <row r="4" spans="1:13" x14ac:dyDescent="0.25">
      <c r="A4" t="s">
        <v>165</v>
      </c>
      <c r="B4" t="s">
        <v>317</v>
      </c>
      <c r="C4" t="s">
        <v>30</v>
      </c>
      <c r="D4">
        <v>78.2</v>
      </c>
      <c r="E4">
        <v>88</v>
      </c>
      <c r="F4">
        <v>75</v>
      </c>
      <c r="G4">
        <v>70</v>
      </c>
      <c r="H4">
        <v>84</v>
      </c>
      <c r="I4">
        <v>74</v>
      </c>
      <c r="J4">
        <v>791</v>
      </c>
      <c r="K4" t="s">
        <v>85</v>
      </c>
      <c r="L4" t="s">
        <v>166</v>
      </c>
      <c r="M4" t="s">
        <v>16</v>
      </c>
    </row>
    <row r="5" spans="1:13" x14ac:dyDescent="0.25">
      <c r="A5" t="s">
        <v>268</v>
      </c>
      <c r="B5" t="s">
        <v>318</v>
      </c>
      <c r="C5" t="s">
        <v>174</v>
      </c>
      <c r="D5">
        <v>78.2</v>
      </c>
      <c r="E5">
        <v>71</v>
      </c>
      <c r="F5">
        <v>90</v>
      </c>
      <c r="G5">
        <v>85</v>
      </c>
      <c r="H5">
        <v>84</v>
      </c>
      <c r="I5">
        <v>61</v>
      </c>
      <c r="J5">
        <v>717</v>
      </c>
      <c r="K5" t="s">
        <v>138</v>
      </c>
      <c r="L5" t="s">
        <v>88</v>
      </c>
      <c r="M5" t="s">
        <v>80</v>
      </c>
    </row>
    <row r="6" spans="1:13" x14ac:dyDescent="0.25">
      <c r="A6" t="s">
        <v>177</v>
      </c>
      <c r="B6" t="s">
        <v>319</v>
      </c>
      <c r="C6" t="s">
        <v>2</v>
      </c>
      <c r="D6">
        <v>77</v>
      </c>
      <c r="E6">
        <v>92</v>
      </c>
      <c r="F6">
        <v>80</v>
      </c>
      <c r="G6">
        <v>80</v>
      </c>
      <c r="H6">
        <v>68</v>
      </c>
      <c r="I6">
        <v>65</v>
      </c>
      <c r="J6">
        <v>673</v>
      </c>
      <c r="K6" t="s">
        <v>28</v>
      </c>
      <c r="L6" t="s">
        <v>16</v>
      </c>
      <c r="M6" t="s">
        <v>16</v>
      </c>
    </row>
    <row r="7" spans="1:13" x14ac:dyDescent="0.25">
      <c r="A7" t="s">
        <v>259</v>
      </c>
      <c r="B7" t="s">
        <v>317</v>
      </c>
      <c r="C7" t="s">
        <v>30</v>
      </c>
      <c r="D7">
        <v>75</v>
      </c>
      <c r="E7">
        <v>73</v>
      </c>
      <c r="F7">
        <v>80</v>
      </c>
      <c r="G7">
        <v>70</v>
      </c>
      <c r="H7">
        <v>80</v>
      </c>
      <c r="I7">
        <v>72</v>
      </c>
      <c r="J7">
        <v>739</v>
      </c>
      <c r="K7" t="s">
        <v>13</v>
      </c>
      <c r="L7" t="s">
        <v>15</v>
      </c>
      <c r="M7" t="s">
        <v>39</v>
      </c>
    </row>
    <row r="8" spans="1:13" x14ac:dyDescent="0.25">
      <c r="A8" t="s">
        <v>273</v>
      </c>
      <c r="B8" t="s">
        <v>320</v>
      </c>
      <c r="C8" t="s">
        <v>274</v>
      </c>
      <c r="D8">
        <v>74.400000000000006</v>
      </c>
      <c r="E8">
        <v>85</v>
      </c>
      <c r="F8">
        <v>70</v>
      </c>
      <c r="G8">
        <v>80</v>
      </c>
      <c r="H8">
        <v>72</v>
      </c>
      <c r="I8">
        <v>65</v>
      </c>
      <c r="J8">
        <v>845</v>
      </c>
      <c r="K8" t="s">
        <v>75</v>
      </c>
      <c r="L8" t="s">
        <v>65</v>
      </c>
      <c r="M8" t="s">
        <v>19</v>
      </c>
    </row>
    <row r="9" spans="1:13" x14ac:dyDescent="0.25">
      <c r="A9" t="s">
        <v>273</v>
      </c>
      <c r="B9" t="s">
        <v>320</v>
      </c>
      <c r="C9" t="s">
        <v>274</v>
      </c>
      <c r="D9">
        <v>74.400000000000006</v>
      </c>
      <c r="E9">
        <v>85</v>
      </c>
      <c r="F9">
        <v>70</v>
      </c>
      <c r="G9">
        <v>80</v>
      </c>
      <c r="H9">
        <v>72</v>
      </c>
      <c r="I9">
        <v>65</v>
      </c>
      <c r="J9">
        <v>845</v>
      </c>
      <c r="K9" t="s">
        <v>75</v>
      </c>
      <c r="L9" t="s">
        <v>65</v>
      </c>
      <c r="M9" t="s">
        <v>19</v>
      </c>
    </row>
    <row r="10" spans="1:13" x14ac:dyDescent="0.25">
      <c r="A10" t="s">
        <v>238</v>
      </c>
      <c r="B10" t="s">
        <v>317</v>
      </c>
      <c r="C10" t="s">
        <v>30</v>
      </c>
      <c r="D10">
        <v>74.2</v>
      </c>
      <c r="E10">
        <v>70</v>
      </c>
      <c r="F10">
        <v>85</v>
      </c>
      <c r="G10">
        <v>80</v>
      </c>
      <c r="H10">
        <v>80</v>
      </c>
      <c r="I10">
        <v>56</v>
      </c>
      <c r="J10">
        <v>675</v>
      </c>
      <c r="K10" t="s">
        <v>92</v>
      </c>
      <c r="L10" t="s">
        <v>87</v>
      </c>
      <c r="M10" t="s">
        <v>16</v>
      </c>
    </row>
    <row r="11" spans="1:13" x14ac:dyDescent="0.25">
      <c r="A11" t="s">
        <v>238</v>
      </c>
      <c r="B11" t="s">
        <v>317</v>
      </c>
      <c r="C11" t="s">
        <v>30</v>
      </c>
      <c r="D11">
        <v>74.2</v>
      </c>
      <c r="E11">
        <v>70</v>
      </c>
      <c r="F11">
        <v>85</v>
      </c>
      <c r="G11">
        <v>80</v>
      </c>
      <c r="H11">
        <v>80</v>
      </c>
      <c r="I11">
        <v>56</v>
      </c>
      <c r="J11">
        <v>675</v>
      </c>
      <c r="K11" t="s">
        <v>92</v>
      </c>
      <c r="L11" t="s">
        <v>87</v>
      </c>
      <c r="M11" t="s">
        <v>16</v>
      </c>
    </row>
    <row r="12" spans="1:13" x14ac:dyDescent="0.25">
      <c r="A12" t="s">
        <v>283</v>
      </c>
      <c r="B12" t="s">
        <v>321</v>
      </c>
      <c r="C12" t="s">
        <v>282</v>
      </c>
      <c r="D12">
        <v>73.400000000000006</v>
      </c>
      <c r="E12">
        <v>52</v>
      </c>
      <c r="F12">
        <v>80</v>
      </c>
      <c r="G12">
        <v>80</v>
      </c>
      <c r="H12">
        <v>88</v>
      </c>
      <c r="I12">
        <v>67</v>
      </c>
      <c r="J12">
        <v>753</v>
      </c>
      <c r="K12" t="s">
        <v>12</v>
      </c>
      <c r="L12" t="s">
        <v>198</v>
      </c>
      <c r="M12" t="s">
        <v>39</v>
      </c>
    </row>
    <row r="13" spans="1:13" x14ac:dyDescent="0.25">
      <c r="A13" t="s">
        <v>203</v>
      </c>
      <c r="B13" t="s">
        <v>322</v>
      </c>
      <c r="C13" t="s">
        <v>129</v>
      </c>
      <c r="D13">
        <v>73.2</v>
      </c>
      <c r="E13">
        <v>86</v>
      </c>
      <c r="F13">
        <v>75</v>
      </c>
      <c r="G13">
        <v>65</v>
      </c>
      <c r="H13">
        <v>80</v>
      </c>
      <c r="I13">
        <v>60</v>
      </c>
      <c r="J13">
        <v>925</v>
      </c>
      <c r="K13" t="s">
        <v>73</v>
      </c>
      <c r="L13" t="s">
        <v>3</v>
      </c>
      <c r="M13" t="s">
        <v>13</v>
      </c>
    </row>
    <row r="14" spans="1:13" x14ac:dyDescent="0.25">
      <c r="A14" t="s">
        <v>290</v>
      </c>
      <c r="B14" t="s">
        <v>317</v>
      </c>
      <c r="C14" t="s">
        <v>30</v>
      </c>
      <c r="D14">
        <v>72.8</v>
      </c>
      <c r="E14">
        <v>70</v>
      </c>
      <c r="F14">
        <v>80</v>
      </c>
      <c r="G14">
        <v>60</v>
      </c>
      <c r="H14">
        <v>84</v>
      </c>
      <c r="I14">
        <v>70</v>
      </c>
      <c r="J14">
        <v>817</v>
      </c>
      <c r="K14" t="s">
        <v>25</v>
      </c>
      <c r="L14" t="s">
        <v>112</v>
      </c>
      <c r="M14" t="s">
        <v>16</v>
      </c>
    </row>
    <row r="15" spans="1:13" x14ac:dyDescent="0.25">
      <c r="A15" t="s">
        <v>139</v>
      </c>
      <c r="B15" t="s">
        <v>317</v>
      </c>
      <c r="C15" t="s">
        <v>30</v>
      </c>
      <c r="D15">
        <v>72.8</v>
      </c>
      <c r="E15">
        <v>70</v>
      </c>
      <c r="F15">
        <v>80</v>
      </c>
      <c r="G15">
        <v>60</v>
      </c>
      <c r="H15">
        <v>84</v>
      </c>
      <c r="I15">
        <v>70</v>
      </c>
      <c r="J15">
        <v>817</v>
      </c>
      <c r="K15" t="s">
        <v>11</v>
      </c>
      <c r="L15" t="s">
        <v>42</v>
      </c>
      <c r="M15" t="s">
        <v>11</v>
      </c>
    </row>
    <row r="16" spans="1:13" x14ac:dyDescent="0.25">
      <c r="A16" t="s">
        <v>271</v>
      </c>
      <c r="B16" t="s">
        <v>316</v>
      </c>
      <c r="C16" t="s">
        <v>52</v>
      </c>
      <c r="D16">
        <v>72</v>
      </c>
      <c r="E16">
        <v>58</v>
      </c>
      <c r="F16">
        <v>75</v>
      </c>
      <c r="G16">
        <v>85</v>
      </c>
      <c r="H16">
        <v>72</v>
      </c>
      <c r="I16">
        <v>70</v>
      </c>
      <c r="J16">
        <v>779</v>
      </c>
      <c r="K16" t="s">
        <v>16</v>
      </c>
      <c r="L16" t="s">
        <v>28</v>
      </c>
      <c r="M16" t="s">
        <v>16</v>
      </c>
    </row>
    <row r="17" spans="1:13" x14ac:dyDescent="0.25">
      <c r="A17" t="s">
        <v>207</v>
      </c>
      <c r="B17" t="s">
        <v>323</v>
      </c>
      <c r="C17" t="s">
        <v>114</v>
      </c>
      <c r="D17">
        <v>71.8</v>
      </c>
      <c r="E17">
        <v>77</v>
      </c>
      <c r="F17">
        <v>75</v>
      </c>
      <c r="G17">
        <v>65</v>
      </c>
      <c r="H17">
        <v>68</v>
      </c>
      <c r="I17">
        <v>74</v>
      </c>
      <c r="J17">
        <v>725</v>
      </c>
      <c r="K17" t="s">
        <v>16</v>
      </c>
      <c r="L17" t="s">
        <v>28</v>
      </c>
      <c r="M17" t="s">
        <v>16</v>
      </c>
    </row>
    <row r="18" spans="1:13" x14ac:dyDescent="0.25">
      <c r="A18" t="s">
        <v>295</v>
      </c>
      <c r="B18" t="s">
        <v>316</v>
      </c>
      <c r="C18" t="s">
        <v>52</v>
      </c>
      <c r="D18">
        <v>71.400000000000006</v>
      </c>
      <c r="E18">
        <v>67</v>
      </c>
      <c r="F18">
        <v>75</v>
      </c>
      <c r="G18">
        <v>75</v>
      </c>
      <c r="H18">
        <v>76</v>
      </c>
      <c r="I18">
        <v>64</v>
      </c>
      <c r="J18">
        <v>732</v>
      </c>
      <c r="K18" t="s">
        <v>44</v>
      </c>
      <c r="L18" t="s">
        <v>65</v>
      </c>
      <c r="M18" t="s">
        <v>16</v>
      </c>
    </row>
    <row r="19" spans="1:13" x14ac:dyDescent="0.25">
      <c r="A19" t="s">
        <v>109</v>
      </c>
      <c r="B19" t="s">
        <v>316</v>
      </c>
      <c r="C19" t="s">
        <v>52</v>
      </c>
      <c r="D19">
        <v>71.400000000000006</v>
      </c>
      <c r="E19">
        <v>58</v>
      </c>
      <c r="F19">
        <v>75</v>
      </c>
      <c r="G19">
        <v>85</v>
      </c>
      <c r="H19">
        <v>72</v>
      </c>
      <c r="I19">
        <v>67</v>
      </c>
      <c r="J19">
        <v>780</v>
      </c>
      <c r="K19" t="s">
        <v>44</v>
      </c>
      <c r="L19" t="s">
        <v>65</v>
      </c>
      <c r="M19" t="s">
        <v>16</v>
      </c>
    </row>
    <row r="20" spans="1:13" x14ac:dyDescent="0.25">
      <c r="A20" t="s">
        <v>228</v>
      </c>
      <c r="B20" t="s">
        <v>317</v>
      </c>
      <c r="C20" t="s">
        <v>30</v>
      </c>
      <c r="D20">
        <v>71.400000000000006</v>
      </c>
      <c r="E20">
        <v>61</v>
      </c>
      <c r="F20">
        <v>75</v>
      </c>
      <c r="G20">
        <v>80</v>
      </c>
      <c r="H20">
        <v>76</v>
      </c>
      <c r="I20">
        <v>65</v>
      </c>
      <c r="J20">
        <v>769</v>
      </c>
      <c r="K20" t="s">
        <v>63</v>
      </c>
      <c r="L20" t="s">
        <v>110</v>
      </c>
      <c r="M20" t="s">
        <v>45</v>
      </c>
    </row>
    <row r="21" spans="1:13" x14ac:dyDescent="0.25">
      <c r="A21" t="s">
        <v>286</v>
      </c>
      <c r="B21" t="s">
        <v>316</v>
      </c>
      <c r="C21" t="s">
        <v>52</v>
      </c>
      <c r="D21">
        <v>71.2</v>
      </c>
      <c r="E21">
        <v>74</v>
      </c>
      <c r="F21">
        <v>75</v>
      </c>
      <c r="G21">
        <v>70</v>
      </c>
      <c r="H21">
        <v>84</v>
      </c>
      <c r="I21">
        <v>53</v>
      </c>
      <c r="J21">
        <v>740</v>
      </c>
      <c r="K21" t="s">
        <v>16</v>
      </c>
      <c r="L21" t="s">
        <v>28</v>
      </c>
      <c r="M21" t="s">
        <v>16</v>
      </c>
    </row>
    <row r="22" spans="1:13" x14ac:dyDescent="0.25">
      <c r="A22" t="s">
        <v>147</v>
      </c>
      <c r="B22" t="s">
        <v>317</v>
      </c>
      <c r="C22" t="s">
        <v>30</v>
      </c>
      <c r="D22">
        <v>71</v>
      </c>
      <c r="E22">
        <v>64</v>
      </c>
      <c r="F22">
        <v>75</v>
      </c>
      <c r="G22">
        <v>60</v>
      </c>
      <c r="H22">
        <v>84</v>
      </c>
      <c r="I22">
        <v>72</v>
      </c>
      <c r="J22">
        <v>785</v>
      </c>
      <c r="K22" t="s">
        <v>85</v>
      </c>
      <c r="L22" t="s">
        <v>119</v>
      </c>
      <c r="M22" t="s">
        <v>85</v>
      </c>
    </row>
    <row r="23" spans="1:13" x14ac:dyDescent="0.25">
      <c r="A23" t="s">
        <v>38</v>
      </c>
      <c r="B23" t="s">
        <v>317</v>
      </c>
      <c r="C23" t="s">
        <v>30</v>
      </c>
      <c r="D23">
        <v>71</v>
      </c>
      <c r="E23">
        <v>64</v>
      </c>
      <c r="F23">
        <v>75</v>
      </c>
      <c r="G23">
        <v>65</v>
      </c>
      <c r="H23">
        <v>84</v>
      </c>
      <c r="I23">
        <v>67</v>
      </c>
      <c r="J23">
        <v>794</v>
      </c>
      <c r="K23" t="s">
        <v>9</v>
      </c>
      <c r="L23" t="s">
        <v>18</v>
      </c>
      <c r="M23" t="s">
        <v>39</v>
      </c>
    </row>
    <row r="24" spans="1:13" x14ac:dyDescent="0.25">
      <c r="A24" t="s">
        <v>188</v>
      </c>
      <c r="B24" t="s">
        <v>324</v>
      </c>
      <c r="C24" t="s">
        <v>133</v>
      </c>
      <c r="D24">
        <v>70.8</v>
      </c>
      <c r="E24">
        <v>95</v>
      </c>
      <c r="F24">
        <v>50</v>
      </c>
      <c r="G24">
        <v>75</v>
      </c>
      <c r="H24">
        <v>84</v>
      </c>
      <c r="I24">
        <v>50</v>
      </c>
      <c r="J24">
        <v>855</v>
      </c>
      <c r="K24" t="s">
        <v>136</v>
      </c>
      <c r="L24" t="s">
        <v>134</v>
      </c>
      <c r="M24" t="s">
        <v>39</v>
      </c>
    </row>
    <row r="25" spans="1:13" x14ac:dyDescent="0.25">
      <c r="A25" t="s">
        <v>162</v>
      </c>
      <c r="B25" t="s">
        <v>316</v>
      </c>
      <c r="C25" t="s">
        <v>52</v>
      </c>
      <c r="D25">
        <v>70.8</v>
      </c>
      <c r="E25">
        <v>95</v>
      </c>
      <c r="F25">
        <v>70</v>
      </c>
      <c r="G25">
        <v>75</v>
      </c>
      <c r="H25">
        <v>64</v>
      </c>
      <c r="I25">
        <v>50</v>
      </c>
      <c r="J25">
        <v>681</v>
      </c>
      <c r="K25" t="s">
        <v>163</v>
      </c>
      <c r="L25" t="s">
        <v>134</v>
      </c>
      <c r="M25" t="s">
        <v>90</v>
      </c>
    </row>
    <row r="26" spans="1:13" x14ac:dyDescent="0.25">
      <c r="A26" t="s">
        <v>117</v>
      </c>
      <c r="B26" t="s">
        <v>325</v>
      </c>
      <c r="C26" t="s">
        <v>118</v>
      </c>
      <c r="D26">
        <v>70</v>
      </c>
      <c r="E26">
        <v>79</v>
      </c>
      <c r="F26">
        <v>75</v>
      </c>
      <c r="G26">
        <v>70</v>
      </c>
      <c r="H26">
        <v>76</v>
      </c>
      <c r="I26">
        <v>50</v>
      </c>
      <c r="J26">
        <v>976</v>
      </c>
      <c r="K26" t="s">
        <v>119</v>
      </c>
      <c r="L26" t="s">
        <v>24</v>
      </c>
      <c r="M26" t="s">
        <v>16</v>
      </c>
    </row>
    <row r="27" spans="1:13" x14ac:dyDescent="0.25">
      <c r="A27" t="e">
        <v>#NAME?</v>
      </c>
      <c r="B27" t="s">
        <v>319</v>
      </c>
      <c r="C27" t="s">
        <v>2</v>
      </c>
      <c r="D27">
        <v>69.599999999999994</v>
      </c>
      <c r="E27">
        <v>82</v>
      </c>
      <c r="F27">
        <v>70</v>
      </c>
      <c r="G27">
        <v>65</v>
      </c>
      <c r="H27">
        <v>76</v>
      </c>
      <c r="I27">
        <v>55</v>
      </c>
      <c r="J27">
        <v>790</v>
      </c>
      <c r="K27">
        <v>0</v>
      </c>
      <c r="L27">
        <v>0</v>
      </c>
      <c r="M27">
        <v>0</v>
      </c>
    </row>
    <row r="28" spans="1:13" x14ac:dyDescent="0.25">
      <c r="A28" t="s">
        <v>144</v>
      </c>
      <c r="B28" t="s">
        <v>326</v>
      </c>
      <c r="C28" t="s">
        <v>6</v>
      </c>
      <c r="D28">
        <v>69.400000000000006</v>
      </c>
      <c r="E28">
        <v>79</v>
      </c>
      <c r="F28">
        <v>60</v>
      </c>
      <c r="G28">
        <v>70</v>
      </c>
      <c r="H28">
        <v>88</v>
      </c>
      <c r="I28">
        <v>50</v>
      </c>
      <c r="J28">
        <v>893</v>
      </c>
      <c r="K28" t="s">
        <v>134</v>
      </c>
      <c r="L28" t="s">
        <v>145</v>
      </c>
      <c r="M28" t="s">
        <v>5</v>
      </c>
    </row>
    <row r="29" spans="1:13" x14ac:dyDescent="0.25">
      <c r="A29" t="s">
        <v>120</v>
      </c>
      <c r="B29" t="s">
        <v>327</v>
      </c>
      <c r="C29" t="s">
        <v>67</v>
      </c>
      <c r="D29">
        <v>69.400000000000006</v>
      </c>
      <c r="E29">
        <v>61</v>
      </c>
      <c r="F29">
        <v>70</v>
      </c>
      <c r="G29">
        <v>80</v>
      </c>
      <c r="H29">
        <v>76</v>
      </c>
      <c r="I29">
        <v>60</v>
      </c>
      <c r="J29">
        <v>697</v>
      </c>
      <c r="K29" t="s">
        <v>121</v>
      </c>
      <c r="L29" t="s">
        <v>122</v>
      </c>
      <c r="M29" t="s">
        <v>50</v>
      </c>
    </row>
    <row r="30" spans="1:13" x14ac:dyDescent="0.25">
      <c r="A30" t="s">
        <v>150</v>
      </c>
      <c r="B30" t="s">
        <v>322</v>
      </c>
      <c r="C30" t="s">
        <v>129</v>
      </c>
      <c r="D30">
        <v>69.2</v>
      </c>
      <c r="E30">
        <v>62</v>
      </c>
      <c r="F30">
        <v>80</v>
      </c>
      <c r="G30">
        <v>70</v>
      </c>
      <c r="H30">
        <v>76</v>
      </c>
      <c r="I30">
        <v>58</v>
      </c>
      <c r="J30">
        <v>777</v>
      </c>
      <c r="K30" t="s">
        <v>50</v>
      </c>
      <c r="L30" t="s">
        <v>145</v>
      </c>
      <c r="M30" t="s">
        <v>90</v>
      </c>
    </row>
    <row r="31" spans="1:13" x14ac:dyDescent="0.25">
      <c r="A31" t="s">
        <v>135</v>
      </c>
      <c r="B31" t="s">
        <v>325</v>
      </c>
      <c r="C31" t="s">
        <v>118</v>
      </c>
      <c r="D31">
        <v>69.2</v>
      </c>
      <c r="E31">
        <v>79</v>
      </c>
      <c r="F31">
        <v>80</v>
      </c>
      <c r="G31">
        <v>65</v>
      </c>
      <c r="H31">
        <v>72</v>
      </c>
      <c r="I31">
        <v>50</v>
      </c>
      <c r="J31">
        <v>973</v>
      </c>
      <c r="K31" t="s">
        <v>136</v>
      </c>
      <c r="L31" t="s">
        <v>122</v>
      </c>
      <c r="M31" t="s">
        <v>5</v>
      </c>
    </row>
    <row r="32" spans="1:13" x14ac:dyDescent="0.25">
      <c r="A32" t="s">
        <v>72</v>
      </c>
      <c r="B32" t="s">
        <v>317</v>
      </c>
      <c r="C32" t="s">
        <v>30</v>
      </c>
      <c r="D32">
        <v>68.599999999999994</v>
      </c>
      <c r="E32">
        <v>67</v>
      </c>
      <c r="F32">
        <v>65</v>
      </c>
      <c r="G32">
        <v>75</v>
      </c>
      <c r="H32">
        <v>72</v>
      </c>
      <c r="I32">
        <v>64</v>
      </c>
      <c r="J32">
        <v>724</v>
      </c>
      <c r="K32" t="s">
        <v>73</v>
      </c>
      <c r="L32" t="s">
        <v>62</v>
      </c>
      <c r="M32" t="s">
        <v>16</v>
      </c>
    </row>
    <row r="33" spans="1:13" x14ac:dyDescent="0.25">
      <c r="A33" t="s">
        <v>95</v>
      </c>
      <c r="B33" t="s">
        <v>328</v>
      </c>
      <c r="C33" t="s">
        <v>96</v>
      </c>
      <c r="D33">
        <v>68.599999999999994</v>
      </c>
      <c r="E33">
        <v>91</v>
      </c>
      <c r="F33">
        <v>60</v>
      </c>
      <c r="G33">
        <v>65</v>
      </c>
      <c r="H33">
        <v>72</v>
      </c>
      <c r="I33">
        <v>55</v>
      </c>
      <c r="J33">
        <v>880</v>
      </c>
      <c r="K33" t="s">
        <v>37</v>
      </c>
      <c r="L33" t="s">
        <v>69</v>
      </c>
      <c r="M33" t="s">
        <v>13</v>
      </c>
    </row>
    <row r="34" spans="1:13" x14ac:dyDescent="0.25">
      <c r="A34" t="s">
        <v>302</v>
      </c>
      <c r="B34" t="s">
        <v>319</v>
      </c>
      <c r="C34" t="s">
        <v>2</v>
      </c>
      <c r="D34">
        <v>68.400000000000006</v>
      </c>
      <c r="E34">
        <v>73</v>
      </c>
      <c r="F34">
        <v>65</v>
      </c>
      <c r="G34">
        <v>60</v>
      </c>
      <c r="H34">
        <v>72</v>
      </c>
      <c r="I34">
        <v>72</v>
      </c>
      <c r="J34">
        <v>732</v>
      </c>
      <c r="K34" t="s">
        <v>28</v>
      </c>
      <c r="L34" t="s">
        <v>16</v>
      </c>
      <c r="M34" t="s">
        <v>16</v>
      </c>
    </row>
    <row r="35" spans="1:13" x14ac:dyDescent="0.25">
      <c r="A35" t="s">
        <v>219</v>
      </c>
      <c r="B35" t="s">
        <v>326</v>
      </c>
      <c r="C35" t="s">
        <v>6</v>
      </c>
      <c r="D35">
        <v>67.8</v>
      </c>
      <c r="E35">
        <v>61</v>
      </c>
      <c r="F35">
        <v>70</v>
      </c>
      <c r="G35">
        <v>70</v>
      </c>
      <c r="H35">
        <v>88</v>
      </c>
      <c r="I35">
        <v>50</v>
      </c>
      <c r="J35">
        <v>879</v>
      </c>
      <c r="K35" t="s">
        <v>90</v>
      </c>
      <c r="L35" t="s">
        <v>168</v>
      </c>
      <c r="M35" t="s">
        <v>17</v>
      </c>
    </row>
    <row r="36" spans="1:13" x14ac:dyDescent="0.25">
      <c r="A36" t="s">
        <v>240</v>
      </c>
      <c r="B36" t="s">
        <v>316</v>
      </c>
      <c r="C36" t="s">
        <v>52</v>
      </c>
      <c r="D36">
        <v>67.2</v>
      </c>
      <c r="E36">
        <v>100</v>
      </c>
      <c r="F36">
        <v>60</v>
      </c>
      <c r="G36">
        <v>60</v>
      </c>
      <c r="H36">
        <v>68</v>
      </c>
      <c r="I36">
        <v>48</v>
      </c>
      <c r="J36">
        <v>658</v>
      </c>
      <c r="K36" t="s">
        <v>16</v>
      </c>
      <c r="L36" t="s">
        <v>42</v>
      </c>
      <c r="M36" t="s">
        <v>42</v>
      </c>
    </row>
    <row r="37" spans="1:13" x14ac:dyDescent="0.25">
      <c r="A37" t="s">
        <v>22</v>
      </c>
      <c r="B37" t="s">
        <v>329</v>
      </c>
      <c r="C37" t="s">
        <v>23</v>
      </c>
      <c r="D37">
        <v>66.8</v>
      </c>
      <c r="E37">
        <v>68</v>
      </c>
      <c r="F37">
        <v>75</v>
      </c>
      <c r="G37">
        <v>65</v>
      </c>
      <c r="H37">
        <v>76</v>
      </c>
      <c r="I37">
        <v>50</v>
      </c>
      <c r="J37">
        <v>958</v>
      </c>
      <c r="K37" t="s">
        <v>24</v>
      </c>
      <c r="L37" t="s">
        <v>24</v>
      </c>
      <c r="M37" t="s">
        <v>25</v>
      </c>
    </row>
    <row r="38" spans="1:13" x14ac:dyDescent="0.25">
      <c r="A38" t="s">
        <v>197</v>
      </c>
      <c r="B38" t="s">
        <v>330</v>
      </c>
      <c r="C38" t="s">
        <v>176</v>
      </c>
      <c r="D38">
        <v>66.8</v>
      </c>
      <c r="E38">
        <v>67</v>
      </c>
      <c r="F38">
        <v>65</v>
      </c>
      <c r="G38">
        <v>75</v>
      </c>
      <c r="H38">
        <v>72</v>
      </c>
      <c r="I38">
        <v>55</v>
      </c>
      <c r="J38">
        <v>878</v>
      </c>
      <c r="K38" t="s">
        <v>198</v>
      </c>
      <c r="L38" t="s">
        <v>93</v>
      </c>
      <c r="M38" t="s">
        <v>13</v>
      </c>
    </row>
    <row r="39" spans="1:13" x14ac:dyDescent="0.25">
      <c r="A39" t="s">
        <v>253</v>
      </c>
      <c r="B39" t="s">
        <v>316</v>
      </c>
      <c r="C39" t="s">
        <v>52</v>
      </c>
      <c r="D39">
        <v>66.599999999999994</v>
      </c>
      <c r="E39">
        <v>70</v>
      </c>
      <c r="F39">
        <v>75</v>
      </c>
      <c r="G39">
        <v>70</v>
      </c>
      <c r="H39">
        <v>68</v>
      </c>
      <c r="I39">
        <v>50</v>
      </c>
      <c r="J39">
        <v>957</v>
      </c>
      <c r="K39" t="s">
        <v>12</v>
      </c>
      <c r="L39" t="s">
        <v>36</v>
      </c>
      <c r="M39" t="s">
        <v>45</v>
      </c>
    </row>
    <row r="40" spans="1:13" x14ac:dyDescent="0.25">
      <c r="A40" t="s">
        <v>284</v>
      </c>
      <c r="B40" t="s">
        <v>331</v>
      </c>
      <c r="C40" t="s">
        <v>285</v>
      </c>
      <c r="D40">
        <v>66.400000000000006</v>
      </c>
      <c r="E40">
        <v>67</v>
      </c>
      <c r="F40">
        <v>60</v>
      </c>
      <c r="G40">
        <v>75</v>
      </c>
      <c r="H40">
        <v>80</v>
      </c>
      <c r="I40">
        <v>50</v>
      </c>
      <c r="J40">
        <v>890</v>
      </c>
      <c r="K40" t="s">
        <v>163</v>
      </c>
      <c r="L40" t="s">
        <v>198</v>
      </c>
      <c r="M40" t="s">
        <v>45</v>
      </c>
    </row>
    <row r="41" spans="1:13" x14ac:dyDescent="0.25">
      <c r="A41" t="s">
        <v>241</v>
      </c>
      <c r="B41" t="s">
        <v>332</v>
      </c>
      <c r="C41" t="s">
        <v>242</v>
      </c>
      <c r="D41">
        <v>66.400000000000006</v>
      </c>
      <c r="E41">
        <v>55</v>
      </c>
      <c r="F41">
        <v>80</v>
      </c>
      <c r="G41">
        <v>65</v>
      </c>
      <c r="H41">
        <v>76</v>
      </c>
      <c r="I41">
        <v>56</v>
      </c>
      <c r="J41">
        <v>761</v>
      </c>
      <c r="K41" t="s">
        <v>43</v>
      </c>
      <c r="L41" t="s">
        <v>44</v>
      </c>
      <c r="M41" t="s">
        <v>45</v>
      </c>
    </row>
    <row r="42" spans="1:13" x14ac:dyDescent="0.25">
      <c r="A42" t="s">
        <v>293</v>
      </c>
      <c r="B42" t="s">
        <v>333</v>
      </c>
      <c r="C42" t="s">
        <v>294</v>
      </c>
      <c r="D42">
        <v>65.8</v>
      </c>
      <c r="E42">
        <v>59</v>
      </c>
      <c r="F42">
        <v>80</v>
      </c>
      <c r="G42">
        <v>65</v>
      </c>
      <c r="H42">
        <v>72</v>
      </c>
      <c r="I42">
        <v>53</v>
      </c>
      <c r="J42">
        <v>744</v>
      </c>
      <c r="K42" t="s">
        <v>73</v>
      </c>
      <c r="L42" t="s">
        <v>36</v>
      </c>
      <c r="M42" t="s">
        <v>90</v>
      </c>
    </row>
    <row r="43" spans="1:13" x14ac:dyDescent="0.25">
      <c r="A43" t="s">
        <v>293</v>
      </c>
      <c r="B43" t="s">
        <v>333</v>
      </c>
      <c r="C43" t="s">
        <v>294</v>
      </c>
      <c r="D43">
        <v>65.8</v>
      </c>
      <c r="E43">
        <v>59</v>
      </c>
      <c r="F43">
        <v>80</v>
      </c>
      <c r="G43">
        <v>65</v>
      </c>
      <c r="H43">
        <v>72</v>
      </c>
      <c r="I43">
        <v>53</v>
      </c>
      <c r="J43">
        <v>744</v>
      </c>
      <c r="K43" t="s">
        <v>73</v>
      </c>
      <c r="L43" t="s">
        <v>36</v>
      </c>
      <c r="M43" t="s">
        <v>90</v>
      </c>
    </row>
    <row r="44" spans="1:13" x14ac:dyDescent="0.25">
      <c r="A44" t="s">
        <v>217</v>
      </c>
      <c r="B44" t="s">
        <v>319</v>
      </c>
      <c r="C44" t="s">
        <v>2</v>
      </c>
      <c r="D44">
        <v>65.8</v>
      </c>
      <c r="E44">
        <v>83</v>
      </c>
      <c r="F44">
        <v>70</v>
      </c>
      <c r="G44">
        <v>50</v>
      </c>
      <c r="H44">
        <v>76</v>
      </c>
      <c r="I44">
        <v>50</v>
      </c>
      <c r="J44">
        <v>777</v>
      </c>
      <c r="K44" t="s">
        <v>73</v>
      </c>
      <c r="L44" t="s">
        <v>62</v>
      </c>
      <c r="M44" t="s">
        <v>16</v>
      </c>
    </row>
    <row r="45" spans="1:13" x14ac:dyDescent="0.25">
      <c r="A45" t="s">
        <v>211</v>
      </c>
      <c r="B45" t="s">
        <v>328</v>
      </c>
      <c r="C45" t="s">
        <v>96</v>
      </c>
      <c r="D45">
        <v>65.8</v>
      </c>
      <c r="E45">
        <v>86</v>
      </c>
      <c r="F45">
        <v>65</v>
      </c>
      <c r="G45">
        <v>60</v>
      </c>
      <c r="H45">
        <v>68</v>
      </c>
      <c r="I45">
        <v>50</v>
      </c>
      <c r="J45">
        <v>889</v>
      </c>
      <c r="K45" t="s">
        <v>212</v>
      </c>
      <c r="L45" t="s">
        <v>92</v>
      </c>
      <c r="M45" t="s">
        <v>39</v>
      </c>
    </row>
    <row r="46" spans="1:13" x14ac:dyDescent="0.25">
      <c r="A46" t="s">
        <v>225</v>
      </c>
      <c r="B46" t="s">
        <v>334</v>
      </c>
      <c r="C46" t="s">
        <v>226</v>
      </c>
      <c r="D46">
        <v>65.599999999999994</v>
      </c>
      <c r="E46">
        <v>52</v>
      </c>
      <c r="F46">
        <v>85</v>
      </c>
      <c r="G46">
        <v>65</v>
      </c>
      <c r="H46">
        <v>72</v>
      </c>
      <c r="I46">
        <v>54</v>
      </c>
      <c r="J46">
        <v>744</v>
      </c>
      <c r="K46" t="s">
        <v>37</v>
      </c>
      <c r="L46" t="s">
        <v>18</v>
      </c>
      <c r="M46" t="s">
        <v>16</v>
      </c>
    </row>
    <row r="47" spans="1:13" x14ac:dyDescent="0.25">
      <c r="A47" t="s">
        <v>225</v>
      </c>
      <c r="B47" t="s">
        <v>334</v>
      </c>
      <c r="C47" t="s">
        <v>226</v>
      </c>
      <c r="D47">
        <v>65.599999999999994</v>
      </c>
      <c r="E47">
        <v>52</v>
      </c>
      <c r="F47">
        <v>85</v>
      </c>
      <c r="G47">
        <v>65</v>
      </c>
      <c r="H47">
        <v>72</v>
      </c>
      <c r="I47">
        <v>54</v>
      </c>
      <c r="J47">
        <v>744</v>
      </c>
      <c r="K47" t="s">
        <v>37</v>
      </c>
      <c r="L47" t="s">
        <v>18</v>
      </c>
      <c r="M47" t="s">
        <v>16</v>
      </c>
    </row>
    <row r="48" spans="1:13" x14ac:dyDescent="0.25">
      <c r="A48" t="s">
        <v>201</v>
      </c>
      <c r="B48" t="s">
        <v>316</v>
      </c>
      <c r="C48" t="s">
        <v>52</v>
      </c>
      <c r="D48">
        <v>65.2</v>
      </c>
      <c r="E48">
        <v>82</v>
      </c>
      <c r="F48">
        <v>70</v>
      </c>
      <c r="G48">
        <v>55</v>
      </c>
      <c r="H48">
        <v>64</v>
      </c>
      <c r="I48">
        <v>55</v>
      </c>
      <c r="J48">
        <v>715</v>
      </c>
      <c r="K48" t="s">
        <v>16</v>
      </c>
      <c r="L48" t="s">
        <v>28</v>
      </c>
      <c r="M48" t="s">
        <v>16</v>
      </c>
    </row>
    <row r="49" spans="1:13" x14ac:dyDescent="0.25">
      <c r="A49" t="s">
        <v>128</v>
      </c>
      <c r="B49" t="s">
        <v>322</v>
      </c>
      <c r="C49" t="s">
        <v>129</v>
      </c>
      <c r="D49">
        <v>65.2</v>
      </c>
      <c r="E49">
        <v>67</v>
      </c>
      <c r="F49">
        <v>55</v>
      </c>
      <c r="G49">
        <v>75</v>
      </c>
      <c r="H49">
        <v>84</v>
      </c>
      <c r="I49">
        <v>45</v>
      </c>
      <c r="J49">
        <v>769</v>
      </c>
      <c r="K49" t="s">
        <v>75</v>
      </c>
      <c r="L49" t="s">
        <v>65</v>
      </c>
      <c r="M49" t="s">
        <v>19</v>
      </c>
    </row>
    <row r="50" spans="1:13" x14ac:dyDescent="0.25">
      <c r="A50" t="s">
        <v>193</v>
      </c>
      <c r="B50" t="s">
        <v>319</v>
      </c>
      <c r="C50" t="s">
        <v>2</v>
      </c>
      <c r="D50">
        <v>65</v>
      </c>
      <c r="E50">
        <v>65</v>
      </c>
      <c r="F50">
        <v>70</v>
      </c>
      <c r="G50">
        <v>65</v>
      </c>
      <c r="H50">
        <v>80</v>
      </c>
      <c r="I50">
        <v>45</v>
      </c>
      <c r="J50">
        <v>968</v>
      </c>
      <c r="K50" t="s">
        <v>168</v>
      </c>
      <c r="L50" t="s">
        <v>57</v>
      </c>
      <c r="M50" t="s">
        <v>5</v>
      </c>
    </row>
    <row r="51" spans="1:13" x14ac:dyDescent="0.25">
      <c r="A51" t="s">
        <v>230</v>
      </c>
      <c r="B51" t="s">
        <v>330</v>
      </c>
      <c r="C51" t="s">
        <v>176</v>
      </c>
      <c r="D51">
        <v>64.8</v>
      </c>
      <c r="E51">
        <v>73</v>
      </c>
      <c r="F51">
        <v>65</v>
      </c>
      <c r="G51">
        <v>50</v>
      </c>
      <c r="H51">
        <v>76</v>
      </c>
      <c r="I51">
        <v>60</v>
      </c>
      <c r="J51">
        <v>732</v>
      </c>
      <c r="K51" t="s">
        <v>44</v>
      </c>
      <c r="L51" t="s">
        <v>125</v>
      </c>
      <c r="M51" t="s">
        <v>5</v>
      </c>
    </row>
    <row r="52" spans="1:13" x14ac:dyDescent="0.25">
      <c r="A52" t="s">
        <v>257</v>
      </c>
      <c r="B52" t="s">
        <v>324</v>
      </c>
      <c r="C52" t="s">
        <v>133</v>
      </c>
      <c r="D52">
        <v>64.8</v>
      </c>
      <c r="E52">
        <v>76</v>
      </c>
      <c r="F52">
        <v>70</v>
      </c>
      <c r="G52">
        <v>55</v>
      </c>
      <c r="H52">
        <v>72</v>
      </c>
      <c r="I52">
        <v>51</v>
      </c>
      <c r="J52">
        <v>756</v>
      </c>
      <c r="K52" t="s">
        <v>119</v>
      </c>
      <c r="L52" t="s">
        <v>237</v>
      </c>
      <c r="M52" t="s">
        <v>25</v>
      </c>
    </row>
    <row r="53" spans="1:13" x14ac:dyDescent="0.25">
      <c r="A53" t="s">
        <v>231</v>
      </c>
      <c r="B53" t="s">
        <v>335</v>
      </c>
      <c r="C53" t="s">
        <v>232</v>
      </c>
      <c r="D53">
        <v>64.599999999999994</v>
      </c>
      <c r="E53">
        <v>62</v>
      </c>
      <c r="F53">
        <v>65</v>
      </c>
      <c r="G53">
        <v>65</v>
      </c>
      <c r="H53">
        <v>72</v>
      </c>
      <c r="I53">
        <v>59</v>
      </c>
      <c r="J53">
        <v>864</v>
      </c>
      <c r="K53" t="s">
        <v>63</v>
      </c>
      <c r="L53" t="s">
        <v>63</v>
      </c>
      <c r="M53" t="s">
        <v>7</v>
      </c>
    </row>
    <row r="54" spans="1:13" x14ac:dyDescent="0.25">
      <c r="A54" t="s">
        <v>239</v>
      </c>
      <c r="B54" t="s">
        <v>336</v>
      </c>
      <c r="C54" t="s">
        <v>210</v>
      </c>
      <c r="D54">
        <v>64.599999999999994</v>
      </c>
      <c r="E54">
        <v>71</v>
      </c>
      <c r="F54">
        <v>75</v>
      </c>
      <c r="G54">
        <v>60</v>
      </c>
      <c r="H54">
        <v>72</v>
      </c>
      <c r="I54">
        <v>45</v>
      </c>
      <c r="J54">
        <v>920</v>
      </c>
      <c r="K54" t="s">
        <v>12</v>
      </c>
      <c r="L54" t="s">
        <v>3</v>
      </c>
      <c r="M54" t="s">
        <v>25</v>
      </c>
    </row>
    <row r="55" spans="1:13" x14ac:dyDescent="0.25">
      <c r="A55" t="s">
        <v>272</v>
      </c>
      <c r="B55" t="s">
        <v>322</v>
      </c>
      <c r="C55" t="s">
        <v>129</v>
      </c>
      <c r="D55">
        <v>64.2</v>
      </c>
      <c r="E55">
        <v>74</v>
      </c>
      <c r="F55">
        <v>55</v>
      </c>
      <c r="G55">
        <v>70</v>
      </c>
      <c r="H55">
        <v>72</v>
      </c>
      <c r="I55">
        <v>50</v>
      </c>
      <c r="J55">
        <v>921</v>
      </c>
      <c r="K55" t="s">
        <v>88</v>
      </c>
      <c r="L55" t="s">
        <v>110</v>
      </c>
      <c r="M55" t="s">
        <v>25</v>
      </c>
    </row>
    <row r="56" spans="1:13" x14ac:dyDescent="0.25">
      <c r="A56" t="s">
        <v>287</v>
      </c>
      <c r="B56" t="s">
        <v>322</v>
      </c>
      <c r="C56" t="s">
        <v>129</v>
      </c>
      <c r="D56">
        <v>64.2</v>
      </c>
      <c r="E56">
        <v>59</v>
      </c>
      <c r="F56">
        <v>80</v>
      </c>
      <c r="G56">
        <v>45</v>
      </c>
      <c r="H56">
        <v>76</v>
      </c>
      <c r="I56">
        <v>61</v>
      </c>
      <c r="J56">
        <v>825</v>
      </c>
      <c r="K56" t="s">
        <v>11</v>
      </c>
      <c r="L56" t="s">
        <v>69</v>
      </c>
      <c r="M56" t="s">
        <v>17</v>
      </c>
    </row>
    <row r="57" spans="1:13" x14ac:dyDescent="0.25">
      <c r="A57" t="s">
        <v>113</v>
      </c>
      <c r="B57" t="s">
        <v>323</v>
      </c>
      <c r="C57" t="s">
        <v>114</v>
      </c>
      <c r="D57">
        <v>64</v>
      </c>
      <c r="E57">
        <v>76</v>
      </c>
      <c r="F57">
        <v>70</v>
      </c>
      <c r="G57">
        <v>50</v>
      </c>
      <c r="H57">
        <v>60</v>
      </c>
      <c r="I57">
        <v>64</v>
      </c>
      <c r="J57">
        <v>711</v>
      </c>
      <c r="K57" t="s">
        <v>42</v>
      </c>
      <c r="L57" t="s">
        <v>42</v>
      </c>
      <c r="M57" t="s">
        <v>16</v>
      </c>
    </row>
    <row r="58" spans="1:13" x14ac:dyDescent="0.25">
      <c r="A58" t="s">
        <v>182</v>
      </c>
      <c r="B58" t="s">
        <v>337</v>
      </c>
      <c r="C58" t="s">
        <v>10</v>
      </c>
      <c r="D58">
        <v>63.8</v>
      </c>
      <c r="E58">
        <v>58</v>
      </c>
      <c r="F58">
        <v>70</v>
      </c>
      <c r="G58">
        <v>60</v>
      </c>
      <c r="H58">
        <v>76</v>
      </c>
      <c r="I58">
        <v>55</v>
      </c>
      <c r="J58">
        <v>699</v>
      </c>
      <c r="K58" t="s">
        <v>81</v>
      </c>
      <c r="L58" t="s">
        <v>138</v>
      </c>
      <c r="M58" t="s">
        <v>25</v>
      </c>
    </row>
    <row r="59" spans="1:13" x14ac:dyDescent="0.25">
      <c r="A59" t="s">
        <v>181</v>
      </c>
      <c r="B59" t="s">
        <v>338</v>
      </c>
      <c r="C59" t="s">
        <v>61</v>
      </c>
      <c r="D59">
        <v>63.8</v>
      </c>
      <c r="E59">
        <v>58</v>
      </c>
      <c r="F59">
        <v>65</v>
      </c>
      <c r="G59">
        <v>70</v>
      </c>
      <c r="H59">
        <v>76</v>
      </c>
      <c r="I59">
        <v>50</v>
      </c>
      <c r="J59">
        <v>812</v>
      </c>
      <c r="K59" t="s">
        <v>121</v>
      </c>
      <c r="L59" t="s">
        <v>24</v>
      </c>
      <c r="M59" t="s">
        <v>45</v>
      </c>
    </row>
    <row r="60" spans="1:13" x14ac:dyDescent="0.25">
      <c r="A60" t="s">
        <v>146</v>
      </c>
      <c r="B60" t="s">
        <v>322</v>
      </c>
      <c r="C60" t="s">
        <v>129</v>
      </c>
      <c r="D60">
        <v>63.6</v>
      </c>
      <c r="E60">
        <v>67</v>
      </c>
      <c r="F60">
        <v>65</v>
      </c>
      <c r="G60">
        <v>65</v>
      </c>
      <c r="H60">
        <v>76</v>
      </c>
      <c r="I60">
        <v>45</v>
      </c>
      <c r="J60">
        <v>877</v>
      </c>
      <c r="K60" t="s">
        <v>3</v>
      </c>
      <c r="L60" t="s">
        <v>3</v>
      </c>
      <c r="M60" t="s">
        <v>88</v>
      </c>
    </row>
    <row r="61" spans="1:13" x14ac:dyDescent="0.25">
      <c r="A61" t="s">
        <v>146</v>
      </c>
      <c r="B61" t="s">
        <v>322</v>
      </c>
      <c r="C61" t="s">
        <v>129</v>
      </c>
      <c r="D61">
        <v>63.6</v>
      </c>
      <c r="E61">
        <v>67</v>
      </c>
      <c r="F61">
        <v>65</v>
      </c>
      <c r="G61">
        <v>65</v>
      </c>
      <c r="H61">
        <v>76</v>
      </c>
      <c r="I61">
        <v>45</v>
      </c>
      <c r="J61">
        <v>877</v>
      </c>
      <c r="K61" t="s">
        <v>3</v>
      </c>
      <c r="L61" t="s">
        <v>3</v>
      </c>
      <c r="M61" t="s">
        <v>88</v>
      </c>
    </row>
    <row r="62" spans="1:13" x14ac:dyDescent="0.25">
      <c r="A62" t="s">
        <v>221</v>
      </c>
      <c r="B62" t="s">
        <v>317</v>
      </c>
      <c r="C62" t="s">
        <v>30</v>
      </c>
      <c r="D62">
        <v>63.6</v>
      </c>
      <c r="E62">
        <v>77</v>
      </c>
      <c r="F62">
        <v>65</v>
      </c>
      <c r="G62">
        <v>70</v>
      </c>
      <c r="H62">
        <v>58</v>
      </c>
      <c r="I62">
        <v>48</v>
      </c>
      <c r="J62">
        <v>210</v>
      </c>
      <c r="K62" t="s">
        <v>17</v>
      </c>
      <c r="L62" t="s">
        <v>222</v>
      </c>
      <c r="M62" t="s">
        <v>16</v>
      </c>
    </row>
    <row r="63" spans="1:13" x14ac:dyDescent="0.25">
      <c r="A63" t="s">
        <v>280</v>
      </c>
      <c r="B63" t="s">
        <v>339</v>
      </c>
      <c r="C63" t="s">
        <v>140</v>
      </c>
      <c r="D63">
        <v>63.4</v>
      </c>
      <c r="E63">
        <v>65</v>
      </c>
      <c r="F63">
        <v>55</v>
      </c>
      <c r="G63">
        <v>65</v>
      </c>
      <c r="H63">
        <v>72</v>
      </c>
      <c r="I63">
        <v>60</v>
      </c>
      <c r="J63">
        <v>912</v>
      </c>
      <c r="K63" t="s">
        <v>122</v>
      </c>
      <c r="L63" t="s">
        <v>69</v>
      </c>
      <c r="M63" t="s">
        <v>39</v>
      </c>
    </row>
    <row r="64" spans="1:13" x14ac:dyDescent="0.25">
      <c r="A64" t="s">
        <v>255</v>
      </c>
      <c r="B64" t="s">
        <v>340</v>
      </c>
      <c r="C64" t="s">
        <v>256</v>
      </c>
      <c r="D64">
        <v>63.4</v>
      </c>
      <c r="E64">
        <v>80</v>
      </c>
      <c r="F64">
        <v>50</v>
      </c>
      <c r="G64">
        <v>60</v>
      </c>
      <c r="H64">
        <v>72</v>
      </c>
      <c r="I64">
        <v>55</v>
      </c>
      <c r="J64">
        <v>945</v>
      </c>
      <c r="K64" t="s">
        <v>116</v>
      </c>
      <c r="L64" t="s">
        <v>122</v>
      </c>
      <c r="M64" t="s">
        <v>17</v>
      </c>
    </row>
    <row r="65" spans="1:13" x14ac:dyDescent="0.25">
      <c r="A65" t="s">
        <v>262</v>
      </c>
      <c r="B65" t="s">
        <v>336</v>
      </c>
      <c r="C65" t="s">
        <v>210</v>
      </c>
      <c r="D65">
        <v>63</v>
      </c>
      <c r="E65">
        <v>56</v>
      </c>
      <c r="F65">
        <v>75</v>
      </c>
      <c r="G65">
        <v>70</v>
      </c>
      <c r="H65">
        <v>64</v>
      </c>
      <c r="I65">
        <v>50</v>
      </c>
      <c r="J65">
        <v>890</v>
      </c>
      <c r="K65" t="s">
        <v>103</v>
      </c>
      <c r="L65" t="s">
        <v>85</v>
      </c>
      <c r="M65" t="s">
        <v>31</v>
      </c>
    </row>
    <row r="66" spans="1:13" x14ac:dyDescent="0.25">
      <c r="A66" t="s">
        <v>223</v>
      </c>
      <c r="B66" t="s">
        <v>341</v>
      </c>
      <c r="C66" t="s">
        <v>224</v>
      </c>
      <c r="D66">
        <v>62.8</v>
      </c>
      <c r="E66">
        <v>64</v>
      </c>
      <c r="F66">
        <v>75</v>
      </c>
      <c r="G66">
        <v>55</v>
      </c>
      <c r="H66">
        <v>72</v>
      </c>
      <c r="I66">
        <v>48</v>
      </c>
      <c r="J66">
        <v>748</v>
      </c>
      <c r="K66" t="s">
        <v>37</v>
      </c>
      <c r="L66" t="s">
        <v>73</v>
      </c>
      <c r="M66" t="s">
        <v>3</v>
      </c>
    </row>
    <row r="67" spans="1:13" x14ac:dyDescent="0.25">
      <c r="A67" t="s">
        <v>291</v>
      </c>
      <c r="B67" t="s">
        <v>342</v>
      </c>
      <c r="C67" t="s">
        <v>292</v>
      </c>
      <c r="D67">
        <v>62.6</v>
      </c>
      <c r="E67">
        <v>67</v>
      </c>
      <c r="F67">
        <v>60</v>
      </c>
      <c r="G67">
        <v>55</v>
      </c>
      <c r="H67">
        <v>72</v>
      </c>
      <c r="I67">
        <v>59</v>
      </c>
      <c r="J67">
        <v>740</v>
      </c>
      <c r="K67" t="s">
        <v>3</v>
      </c>
      <c r="L67" t="s">
        <v>110</v>
      </c>
      <c r="M67" t="s">
        <v>39</v>
      </c>
    </row>
    <row r="68" spans="1:13" x14ac:dyDescent="0.25">
      <c r="A68" t="s">
        <v>132</v>
      </c>
      <c r="B68" t="s">
        <v>324</v>
      </c>
      <c r="C68" t="s">
        <v>133</v>
      </c>
      <c r="D68">
        <v>62.6</v>
      </c>
      <c r="E68">
        <v>67</v>
      </c>
      <c r="F68">
        <v>55</v>
      </c>
      <c r="G68">
        <v>70</v>
      </c>
      <c r="H68">
        <v>76</v>
      </c>
      <c r="I68">
        <v>45</v>
      </c>
      <c r="J68">
        <v>887</v>
      </c>
      <c r="K68" t="s">
        <v>134</v>
      </c>
      <c r="L68" t="s">
        <v>43</v>
      </c>
      <c r="M68" t="s">
        <v>25</v>
      </c>
    </row>
    <row r="69" spans="1:13" x14ac:dyDescent="0.25">
      <c r="A69" t="s">
        <v>249</v>
      </c>
      <c r="B69" t="s">
        <v>317</v>
      </c>
      <c r="C69" t="s">
        <v>30</v>
      </c>
      <c r="D69">
        <v>62.6</v>
      </c>
      <c r="E69">
        <v>49</v>
      </c>
      <c r="F69">
        <v>70</v>
      </c>
      <c r="G69">
        <v>55</v>
      </c>
      <c r="H69">
        <v>80</v>
      </c>
      <c r="I69">
        <v>59</v>
      </c>
      <c r="J69">
        <v>801</v>
      </c>
      <c r="K69" t="s">
        <v>134</v>
      </c>
      <c r="L69" t="s">
        <v>100</v>
      </c>
      <c r="M69" t="s">
        <v>16</v>
      </c>
    </row>
    <row r="70" spans="1:13" x14ac:dyDescent="0.25">
      <c r="A70" t="s">
        <v>279</v>
      </c>
      <c r="B70" t="s">
        <v>343</v>
      </c>
      <c r="C70" t="s">
        <v>89</v>
      </c>
      <c r="D70">
        <v>62.6</v>
      </c>
      <c r="E70">
        <v>59</v>
      </c>
      <c r="F70">
        <v>70</v>
      </c>
      <c r="G70">
        <v>65</v>
      </c>
      <c r="H70">
        <v>64</v>
      </c>
      <c r="I70">
        <v>55</v>
      </c>
      <c r="J70">
        <v>770</v>
      </c>
      <c r="K70" t="s">
        <v>81</v>
      </c>
      <c r="L70" t="s">
        <v>4</v>
      </c>
      <c r="M70" t="s">
        <v>39</v>
      </c>
    </row>
    <row r="71" spans="1:13" x14ac:dyDescent="0.25">
      <c r="A71" t="s">
        <v>300</v>
      </c>
      <c r="B71" t="s">
        <v>344</v>
      </c>
      <c r="C71" t="s">
        <v>301</v>
      </c>
      <c r="D71">
        <v>62.4</v>
      </c>
      <c r="E71">
        <v>71</v>
      </c>
      <c r="F71">
        <v>60</v>
      </c>
      <c r="G71">
        <v>50</v>
      </c>
      <c r="H71">
        <v>68</v>
      </c>
      <c r="I71">
        <v>63</v>
      </c>
      <c r="J71">
        <v>588</v>
      </c>
      <c r="K71" t="s">
        <v>93</v>
      </c>
      <c r="L71" t="s">
        <v>73</v>
      </c>
      <c r="M71" t="s">
        <v>17</v>
      </c>
    </row>
    <row r="72" spans="1:13" x14ac:dyDescent="0.25">
      <c r="A72" t="s">
        <v>141</v>
      </c>
      <c r="B72" t="s">
        <v>345</v>
      </c>
      <c r="C72" t="s">
        <v>142</v>
      </c>
      <c r="D72">
        <v>62</v>
      </c>
      <c r="E72">
        <v>71</v>
      </c>
      <c r="F72">
        <v>55</v>
      </c>
      <c r="G72">
        <v>55</v>
      </c>
      <c r="H72">
        <v>74</v>
      </c>
      <c r="I72">
        <v>55</v>
      </c>
      <c r="J72">
        <v>236</v>
      </c>
      <c r="K72" t="s">
        <v>37</v>
      </c>
      <c r="L72" t="s">
        <v>143</v>
      </c>
      <c r="M72" t="s">
        <v>39</v>
      </c>
    </row>
    <row r="73" spans="1:13" x14ac:dyDescent="0.25">
      <c r="A73" t="e">
        <v>#NAME?</v>
      </c>
      <c r="B73" t="s">
        <v>337</v>
      </c>
      <c r="C73" t="s">
        <v>10</v>
      </c>
      <c r="D73">
        <v>62</v>
      </c>
      <c r="E73">
        <v>67</v>
      </c>
      <c r="F73">
        <v>65</v>
      </c>
      <c r="G73">
        <v>50</v>
      </c>
      <c r="H73">
        <v>72</v>
      </c>
      <c r="I73">
        <v>56</v>
      </c>
      <c r="J73">
        <v>876</v>
      </c>
      <c r="K73">
        <v>0</v>
      </c>
      <c r="L73">
        <v>0</v>
      </c>
      <c r="M73">
        <v>0</v>
      </c>
    </row>
    <row r="74" spans="1:13" x14ac:dyDescent="0.25">
      <c r="A74" t="s">
        <v>215</v>
      </c>
      <c r="B74" t="s">
        <v>324</v>
      </c>
      <c r="C74" t="s">
        <v>133</v>
      </c>
      <c r="D74">
        <v>62</v>
      </c>
      <c r="E74">
        <v>61</v>
      </c>
      <c r="F74">
        <v>60</v>
      </c>
      <c r="G74">
        <v>60</v>
      </c>
      <c r="H74">
        <v>68</v>
      </c>
      <c r="I74">
        <v>61</v>
      </c>
      <c r="J74">
        <v>780</v>
      </c>
      <c r="K74" t="s">
        <v>65</v>
      </c>
      <c r="L74" t="s">
        <v>81</v>
      </c>
      <c r="M74" t="s">
        <v>216</v>
      </c>
    </row>
    <row r="75" spans="1:13" x14ac:dyDescent="0.25">
      <c r="A75" t="s">
        <v>111</v>
      </c>
      <c r="B75" t="s">
        <v>338</v>
      </c>
      <c r="C75" t="s">
        <v>61</v>
      </c>
      <c r="D75">
        <v>61.4</v>
      </c>
      <c r="E75">
        <v>61</v>
      </c>
      <c r="F75">
        <v>70</v>
      </c>
      <c r="G75">
        <v>50</v>
      </c>
      <c r="H75">
        <v>76</v>
      </c>
      <c r="I75">
        <v>50</v>
      </c>
      <c r="J75">
        <v>813</v>
      </c>
      <c r="K75" t="s">
        <v>85</v>
      </c>
      <c r="L75" t="s">
        <v>12</v>
      </c>
      <c r="M75" t="s">
        <v>85</v>
      </c>
    </row>
    <row r="76" spans="1:13" x14ac:dyDescent="0.25">
      <c r="A76" t="s">
        <v>130</v>
      </c>
      <c r="B76" t="s">
        <v>346</v>
      </c>
      <c r="C76" t="s">
        <v>131</v>
      </c>
      <c r="D76">
        <v>61.4</v>
      </c>
      <c r="E76">
        <v>61</v>
      </c>
      <c r="F76">
        <v>40</v>
      </c>
      <c r="G76">
        <v>75</v>
      </c>
      <c r="H76">
        <v>76</v>
      </c>
      <c r="I76">
        <v>55</v>
      </c>
      <c r="J76">
        <v>932</v>
      </c>
      <c r="K76" t="s">
        <v>69</v>
      </c>
      <c r="L76" t="s">
        <v>44</v>
      </c>
      <c r="M76" t="s">
        <v>45</v>
      </c>
    </row>
    <row r="77" spans="1:13" x14ac:dyDescent="0.25">
      <c r="A77" t="s">
        <v>91</v>
      </c>
      <c r="B77" t="s">
        <v>338</v>
      </c>
      <c r="C77" t="s">
        <v>61</v>
      </c>
      <c r="D77">
        <v>61.4</v>
      </c>
      <c r="E77">
        <v>55</v>
      </c>
      <c r="F77">
        <v>65</v>
      </c>
      <c r="G77">
        <v>65</v>
      </c>
      <c r="H77">
        <v>72</v>
      </c>
      <c r="I77">
        <v>50</v>
      </c>
      <c r="J77">
        <v>904</v>
      </c>
      <c r="K77" t="s">
        <v>92</v>
      </c>
      <c r="L77" t="s">
        <v>93</v>
      </c>
      <c r="M77" t="s">
        <v>39</v>
      </c>
    </row>
    <row r="78" spans="1:13" x14ac:dyDescent="0.25">
      <c r="A78" t="s">
        <v>148</v>
      </c>
      <c r="B78" t="s">
        <v>316</v>
      </c>
      <c r="C78" t="s">
        <v>52</v>
      </c>
      <c r="D78">
        <v>61.4</v>
      </c>
      <c r="E78">
        <v>59</v>
      </c>
      <c r="F78">
        <v>75</v>
      </c>
      <c r="G78">
        <v>60</v>
      </c>
      <c r="H78">
        <v>68</v>
      </c>
      <c r="I78">
        <v>45</v>
      </c>
      <c r="J78">
        <v>924</v>
      </c>
      <c r="K78" t="s">
        <v>77</v>
      </c>
      <c r="L78" t="s">
        <v>25</v>
      </c>
      <c r="M78" t="s">
        <v>39</v>
      </c>
    </row>
    <row r="79" spans="1:13" x14ac:dyDescent="0.25">
      <c r="A79" t="s">
        <v>175</v>
      </c>
      <c r="B79" t="s">
        <v>330</v>
      </c>
      <c r="C79" t="s">
        <v>176</v>
      </c>
      <c r="D79">
        <v>61.2</v>
      </c>
      <c r="E79">
        <v>62</v>
      </c>
      <c r="F79">
        <v>65</v>
      </c>
      <c r="G79">
        <v>45</v>
      </c>
      <c r="H79">
        <v>84</v>
      </c>
      <c r="I79">
        <v>50</v>
      </c>
      <c r="J79">
        <v>908</v>
      </c>
      <c r="K79" t="s">
        <v>73</v>
      </c>
      <c r="L79" t="s">
        <v>73</v>
      </c>
      <c r="M79" t="s">
        <v>19</v>
      </c>
    </row>
    <row r="80" spans="1:13" x14ac:dyDescent="0.25">
      <c r="A80" t="s">
        <v>208</v>
      </c>
      <c r="B80" t="s">
        <v>326</v>
      </c>
      <c r="C80" t="s">
        <v>6</v>
      </c>
      <c r="D80">
        <v>61.2</v>
      </c>
      <c r="E80">
        <v>55</v>
      </c>
      <c r="F80">
        <v>65</v>
      </c>
      <c r="G80">
        <v>55</v>
      </c>
      <c r="H80">
        <v>76</v>
      </c>
      <c r="I80">
        <v>55</v>
      </c>
      <c r="J80">
        <v>918</v>
      </c>
      <c r="K80" t="s">
        <v>85</v>
      </c>
      <c r="L80" t="s">
        <v>145</v>
      </c>
      <c r="M80" t="s">
        <v>39</v>
      </c>
    </row>
    <row r="81" spans="1:13" x14ac:dyDescent="0.25">
      <c r="A81" t="s">
        <v>46</v>
      </c>
      <c r="B81" t="s">
        <v>347</v>
      </c>
      <c r="C81" t="s">
        <v>47</v>
      </c>
      <c r="D81">
        <v>60.8</v>
      </c>
      <c r="E81">
        <v>58</v>
      </c>
      <c r="F81">
        <v>60</v>
      </c>
      <c r="G81">
        <v>60</v>
      </c>
      <c r="H81">
        <v>76</v>
      </c>
      <c r="I81">
        <v>50</v>
      </c>
      <c r="J81">
        <v>816</v>
      </c>
      <c r="K81" t="s">
        <v>48</v>
      </c>
      <c r="L81" t="s">
        <v>49</v>
      </c>
      <c r="M81" t="s">
        <v>50</v>
      </c>
    </row>
    <row r="82" spans="1:13" x14ac:dyDescent="0.25">
      <c r="A82" t="s">
        <v>288</v>
      </c>
      <c r="B82" t="s">
        <v>318</v>
      </c>
      <c r="C82" t="s">
        <v>174</v>
      </c>
      <c r="D82">
        <v>60.8</v>
      </c>
      <c r="E82">
        <v>52</v>
      </c>
      <c r="F82">
        <v>60</v>
      </c>
      <c r="G82">
        <v>70</v>
      </c>
      <c r="H82">
        <v>72</v>
      </c>
      <c r="I82">
        <v>50</v>
      </c>
      <c r="J82">
        <v>905</v>
      </c>
      <c r="K82" t="s">
        <v>12</v>
      </c>
      <c r="L82" t="s">
        <v>3</v>
      </c>
      <c r="M82" t="s">
        <v>25</v>
      </c>
    </row>
    <row r="83" spans="1:13" x14ac:dyDescent="0.25">
      <c r="A83" t="s">
        <v>159</v>
      </c>
      <c r="B83" t="s">
        <v>322</v>
      </c>
      <c r="C83" t="s">
        <v>129</v>
      </c>
      <c r="D83">
        <v>60.8</v>
      </c>
      <c r="E83">
        <v>62</v>
      </c>
      <c r="F83">
        <v>55</v>
      </c>
      <c r="G83">
        <v>65</v>
      </c>
      <c r="H83">
        <v>72</v>
      </c>
      <c r="I83">
        <v>50</v>
      </c>
      <c r="J83">
        <v>939</v>
      </c>
      <c r="K83" t="s">
        <v>73</v>
      </c>
      <c r="L83" t="s">
        <v>36</v>
      </c>
      <c r="M83" t="s">
        <v>90</v>
      </c>
    </row>
    <row r="84" spans="1:13" x14ac:dyDescent="0.25">
      <c r="A84" t="s">
        <v>153</v>
      </c>
      <c r="B84" t="s">
        <v>348</v>
      </c>
      <c r="C84" t="s">
        <v>154</v>
      </c>
      <c r="D84">
        <v>60.8</v>
      </c>
      <c r="E84">
        <v>52</v>
      </c>
      <c r="F84">
        <v>65</v>
      </c>
      <c r="G84">
        <v>65</v>
      </c>
      <c r="H84">
        <v>72</v>
      </c>
      <c r="I84">
        <v>50</v>
      </c>
      <c r="J84">
        <v>843</v>
      </c>
      <c r="K84" t="s">
        <v>37</v>
      </c>
      <c r="L84" t="s">
        <v>92</v>
      </c>
      <c r="M84" t="s">
        <v>134</v>
      </c>
    </row>
    <row r="85" spans="1:13" x14ac:dyDescent="0.25">
      <c r="A85" t="s">
        <v>195</v>
      </c>
      <c r="B85" t="s">
        <v>318</v>
      </c>
      <c r="C85" t="s">
        <v>174</v>
      </c>
      <c r="D85">
        <v>60.4</v>
      </c>
      <c r="E85">
        <v>61</v>
      </c>
      <c r="F85">
        <v>70</v>
      </c>
      <c r="G85">
        <v>55</v>
      </c>
      <c r="H85">
        <v>60</v>
      </c>
      <c r="I85">
        <v>56</v>
      </c>
      <c r="J85">
        <v>754</v>
      </c>
      <c r="K85" t="s">
        <v>134</v>
      </c>
      <c r="L85" t="s">
        <v>49</v>
      </c>
      <c r="M85" t="s">
        <v>106</v>
      </c>
    </row>
    <row r="86" spans="1:13" x14ac:dyDescent="0.25">
      <c r="A86" t="s">
        <v>20</v>
      </c>
      <c r="B86" t="s">
        <v>349</v>
      </c>
      <c r="C86" t="s">
        <v>21</v>
      </c>
      <c r="D86">
        <v>60</v>
      </c>
      <c r="E86">
        <v>49</v>
      </c>
      <c r="F86">
        <v>65</v>
      </c>
      <c r="G86">
        <v>75</v>
      </c>
      <c r="H86">
        <v>66</v>
      </c>
      <c r="I86">
        <v>45</v>
      </c>
      <c r="J86">
        <v>465</v>
      </c>
      <c r="K86" t="s">
        <v>11</v>
      </c>
      <c r="L86" t="s">
        <v>15</v>
      </c>
      <c r="M86" t="s">
        <v>16</v>
      </c>
    </row>
    <row r="87" spans="1:13" x14ac:dyDescent="0.25">
      <c r="A87" t="s">
        <v>236</v>
      </c>
      <c r="B87" t="s">
        <v>324</v>
      </c>
      <c r="C87" t="s">
        <v>133</v>
      </c>
      <c r="D87">
        <v>59.8</v>
      </c>
      <c r="E87">
        <v>52</v>
      </c>
      <c r="F87">
        <v>70</v>
      </c>
      <c r="G87">
        <v>50</v>
      </c>
      <c r="H87">
        <v>72</v>
      </c>
      <c r="I87">
        <v>55</v>
      </c>
      <c r="J87">
        <v>916</v>
      </c>
      <c r="K87" t="s">
        <v>237</v>
      </c>
      <c r="L87" t="s">
        <v>62</v>
      </c>
      <c r="M87" t="s">
        <v>190</v>
      </c>
    </row>
    <row r="88" spans="1:13" x14ac:dyDescent="0.25">
      <c r="A88" t="s">
        <v>64</v>
      </c>
      <c r="B88" t="s">
        <v>317</v>
      </c>
      <c r="C88" t="s">
        <v>30</v>
      </c>
      <c r="D88">
        <v>59.2</v>
      </c>
      <c r="E88">
        <v>64</v>
      </c>
      <c r="F88">
        <v>45</v>
      </c>
      <c r="G88">
        <v>65</v>
      </c>
      <c r="H88">
        <v>72</v>
      </c>
      <c r="I88">
        <v>50</v>
      </c>
      <c r="J88">
        <v>962</v>
      </c>
      <c r="K88" t="s">
        <v>65</v>
      </c>
      <c r="L88" t="s">
        <v>44</v>
      </c>
      <c r="M88" t="s">
        <v>16</v>
      </c>
    </row>
    <row r="89" spans="1:13" x14ac:dyDescent="0.25">
      <c r="A89" t="s">
        <v>220</v>
      </c>
      <c r="B89" t="s">
        <v>316</v>
      </c>
      <c r="C89" t="s">
        <v>52</v>
      </c>
      <c r="D89">
        <v>59.2</v>
      </c>
      <c r="E89">
        <v>64</v>
      </c>
      <c r="F89">
        <v>55</v>
      </c>
      <c r="G89">
        <v>50</v>
      </c>
      <c r="H89">
        <v>72</v>
      </c>
      <c r="I89">
        <v>55</v>
      </c>
      <c r="J89">
        <v>697</v>
      </c>
      <c r="K89" t="s">
        <v>42</v>
      </c>
      <c r="L89" t="s">
        <v>42</v>
      </c>
      <c r="M89" t="s">
        <v>16</v>
      </c>
    </row>
    <row r="90" spans="1:13" x14ac:dyDescent="0.25">
      <c r="A90" t="s">
        <v>275</v>
      </c>
      <c r="B90" t="s">
        <v>350</v>
      </c>
      <c r="C90" t="s">
        <v>276</v>
      </c>
      <c r="D90">
        <v>58.6</v>
      </c>
      <c r="E90">
        <v>62</v>
      </c>
      <c r="F90">
        <v>45</v>
      </c>
      <c r="G90">
        <v>60</v>
      </c>
      <c r="H90">
        <v>76</v>
      </c>
      <c r="I90">
        <v>50</v>
      </c>
      <c r="J90">
        <v>928</v>
      </c>
      <c r="K90" t="s">
        <v>122</v>
      </c>
      <c r="L90" t="s">
        <v>198</v>
      </c>
      <c r="M90" t="s">
        <v>134</v>
      </c>
    </row>
    <row r="91" spans="1:13" x14ac:dyDescent="0.25">
      <c r="A91" t="s">
        <v>267</v>
      </c>
      <c r="B91" t="s">
        <v>317</v>
      </c>
      <c r="C91" t="s">
        <v>30</v>
      </c>
      <c r="D91">
        <v>58</v>
      </c>
      <c r="E91">
        <v>77</v>
      </c>
      <c r="F91">
        <v>55</v>
      </c>
      <c r="G91">
        <v>55</v>
      </c>
      <c r="H91">
        <v>58</v>
      </c>
      <c r="I91">
        <v>45</v>
      </c>
      <c r="J91">
        <v>181</v>
      </c>
      <c r="K91" t="s">
        <v>28</v>
      </c>
      <c r="L91" t="s">
        <v>16</v>
      </c>
      <c r="M91" t="s">
        <v>16</v>
      </c>
    </row>
    <row r="92" spans="1:13" x14ac:dyDescent="0.25">
      <c r="A92" t="s">
        <v>156</v>
      </c>
      <c r="B92" t="s">
        <v>351</v>
      </c>
      <c r="C92" t="s">
        <v>157</v>
      </c>
      <c r="D92">
        <v>57.6</v>
      </c>
      <c r="E92">
        <v>76</v>
      </c>
      <c r="F92">
        <v>50</v>
      </c>
      <c r="G92">
        <v>55</v>
      </c>
      <c r="H92">
        <v>62</v>
      </c>
      <c r="I92">
        <v>45</v>
      </c>
      <c r="J92">
        <v>149</v>
      </c>
      <c r="K92" t="s">
        <v>122</v>
      </c>
      <c r="L92" t="s">
        <v>110</v>
      </c>
      <c r="M92" t="s">
        <v>19</v>
      </c>
    </row>
    <row r="93" spans="1:13" x14ac:dyDescent="0.25">
      <c r="A93" t="s">
        <v>191</v>
      </c>
      <c r="B93" t="s">
        <v>352</v>
      </c>
      <c r="C93" t="s">
        <v>192</v>
      </c>
      <c r="D93">
        <v>57.6</v>
      </c>
      <c r="E93">
        <v>65</v>
      </c>
      <c r="F93">
        <v>60</v>
      </c>
      <c r="G93">
        <v>60</v>
      </c>
      <c r="H93">
        <v>58</v>
      </c>
      <c r="I93">
        <v>45</v>
      </c>
      <c r="J93">
        <v>424</v>
      </c>
      <c r="K93" t="s">
        <v>15</v>
      </c>
      <c r="L93" t="s">
        <v>11</v>
      </c>
      <c r="M93" t="s">
        <v>16</v>
      </c>
    </row>
    <row r="94" spans="1:13" x14ac:dyDescent="0.25">
      <c r="A94" t="s">
        <v>78</v>
      </c>
      <c r="B94" t="s">
        <v>326</v>
      </c>
      <c r="C94" t="s">
        <v>6</v>
      </c>
      <c r="D94">
        <v>57.4</v>
      </c>
      <c r="E94">
        <v>58</v>
      </c>
      <c r="F94">
        <v>70</v>
      </c>
      <c r="G94">
        <v>60</v>
      </c>
      <c r="H94">
        <v>54</v>
      </c>
      <c r="I94">
        <v>45</v>
      </c>
      <c r="J94">
        <v>396</v>
      </c>
      <c r="K94" t="s">
        <v>24</v>
      </c>
      <c r="L94" t="s">
        <v>12</v>
      </c>
      <c r="M94" t="s">
        <v>16</v>
      </c>
    </row>
    <row r="95" spans="1:13" x14ac:dyDescent="0.25">
      <c r="A95" t="s">
        <v>209</v>
      </c>
      <c r="B95" t="s">
        <v>336</v>
      </c>
      <c r="C95" t="s">
        <v>210</v>
      </c>
      <c r="D95">
        <v>57.4</v>
      </c>
      <c r="E95">
        <v>59</v>
      </c>
      <c r="F95">
        <v>65</v>
      </c>
      <c r="G95">
        <v>45</v>
      </c>
      <c r="H95">
        <v>68</v>
      </c>
      <c r="I95">
        <v>50</v>
      </c>
      <c r="J95">
        <v>874</v>
      </c>
      <c r="K95" t="s">
        <v>32</v>
      </c>
      <c r="L95" t="s">
        <v>90</v>
      </c>
      <c r="M95" t="s">
        <v>80</v>
      </c>
    </row>
    <row r="96" spans="1:13" x14ac:dyDescent="0.25">
      <c r="A96" t="s">
        <v>235</v>
      </c>
      <c r="B96" t="s">
        <v>353</v>
      </c>
      <c r="C96" t="s">
        <v>27</v>
      </c>
      <c r="D96">
        <v>57.2</v>
      </c>
      <c r="E96">
        <v>52</v>
      </c>
      <c r="F96">
        <v>60</v>
      </c>
      <c r="G96">
        <v>50</v>
      </c>
      <c r="H96">
        <v>74</v>
      </c>
      <c r="I96">
        <v>50</v>
      </c>
      <c r="J96">
        <v>246</v>
      </c>
      <c r="K96" t="s">
        <v>90</v>
      </c>
      <c r="L96" t="s">
        <v>119</v>
      </c>
      <c r="M96" t="s">
        <v>88</v>
      </c>
    </row>
    <row r="97" spans="1:13" x14ac:dyDescent="0.25">
      <c r="A97" t="s">
        <v>167</v>
      </c>
      <c r="B97" t="s">
        <v>326</v>
      </c>
      <c r="C97" t="s">
        <v>6</v>
      </c>
      <c r="D97">
        <v>56.6</v>
      </c>
      <c r="E97">
        <v>49</v>
      </c>
      <c r="F97">
        <v>65</v>
      </c>
      <c r="G97">
        <v>50</v>
      </c>
      <c r="H97">
        <v>64</v>
      </c>
      <c r="I97">
        <v>55</v>
      </c>
      <c r="J97">
        <v>926</v>
      </c>
      <c r="K97" t="s">
        <v>57</v>
      </c>
      <c r="L97" t="s">
        <v>168</v>
      </c>
      <c r="M97" t="s">
        <v>5</v>
      </c>
    </row>
    <row r="98" spans="1:13" x14ac:dyDescent="0.25">
      <c r="A98" t="s">
        <v>277</v>
      </c>
      <c r="B98" t="s">
        <v>354</v>
      </c>
      <c r="C98" t="s">
        <v>278</v>
      </c>
      <c r="D98">
        <v>56.4</v>
      </c>
      <c r="E98">
        <v>55</v>
      </c>
      <c r="F98">
        <v>60</v>
      </c>
      <c r="G98">
        <v>45</v>
      </c>
      <c r="H98">
        <v>72</v>
      </c>
      <c r="I98">
        <v>50</v>
      </c>
      <c r="J98">
        <v>823</v>
      </c>
      <c r="K98" t="s">
        <v>57</v>
      </c>
      <c r="L98" t="s">
        <v>121</v>
      </c>
      <c r="M98" t="s">
        <v>57</v>
      </c>
    </row>
    <row r="99" spans="1:13" x14ac:dyDescent="0.25">
      <c r="A99" t="s">
        <v>107</v>
      </c>
      <c r="B99" t="s">
        <v>338</v>
      </c>
      <c r="C99" t="s">
        <v>61</v>
      </c>
      <c r="D99">
        <v>56.4</v>
      </c>
      <c r="E99">
        <v>61</v>
      </c>
      <c r="F99">
        <v>65</v>
      </c>
      <c r="G99">
        <v>50</v>
      </c>
      <c r="H99">
        <v>58</v>
      </c>
      <c r="I99">
        <v>48</v>
      </c>
      <c r="J99">
        <v>219</v>
      </c>
      <c r="K99" t="s">
        <v>82</v>
      </c>
      <c r="L99" t="s">
        <v>108</v>
      </c>
      <c r="M99" t="s">
        <v>82</v>
      </c>
    </row>
    <row r="100" spans="1:13" x14ac:dyDescent="0.25">
      <c r="A100" t="s">
        <v>196</v>
      </c>
      <c r="B100" t="s">
        <v>353</v>
      </c>
      <c r="C100" t="s">
        <v>27</v>
      </c>
      <c r="D100">
        <v>55.8</v>
      </c>
      <c r="E100">
        <v>58</v>
      </c>
      <c r="F100">
        <v>55</v>
      </c>
      <c r="G100">
        <v>50</v>
      </c>
      <c r="H100">
        <v>66</v>
      </c>
      <c r="I100">
        <v>50</v>
      </c>
      <c r="J100">
        <v>445</v>
      </c>
      <c r="K100" t="s">
        <v>80</v>
      </c>
      <c r="L100" t="s">
        <v>4</v>
      </c>
      <c r="M100" t="s">
        <v>7</v>
      </c>
    </row>
    <row r="101" spans="1:13" x14ac:dyDescent="0.25">
      <c r="A101" t="s">
        <v>254</v>
      </c>
      <c r="B101" t="s">
        <v>337</v>
      </c>
      <c r="C101" t="s">
        <v>10</v>
      </c>
      <c r="D101">
        <v>55.8</v>
      </c>
      <c r="E101">
        <v>55</v>
      </c>
      <c r="F101">
        <v>65</v>
      </c>
      <c r="G101">
        <v>45</v>
      </c>
      <c r="H101">
        <v>64</v>
      </c>
      <c r="I101">
        <v>50</v>
      </c>
      <c r="J101">
        <v>657</v>
      </c>
      <c r="K101" t="s">
        <v>50</v>
      </c>
      <c r="L101" t="s">
        <v>65</v>
      </c>
      <c r="M101" t="s">
        <v>50</v>
      </c>
    </row>
    <row r="102" spans="1:13" x14ac:dyDescent="0.25">
      <c r="A102" t="s">
        <v>265</v>
      </c>
      <c r="B102" t="s">
        <v>355</v>
      </c>
      <c r="C102" t="s">
        <v>266</v>
      </c>
      <c r="D102">
        <v>55.8</v>
      </c>
      <c r="E102">
        <v>56</v>
      </c>
      <c r="F102">
        <v>55</v>
      </c>
      <c r="G102">
        <v>50</v>
      </c>
      <c r="H102">
        <v>68</v>
      </c>
      <c r="I102">
        <v>50</v>
      </c>
      <c r="J102">
        <v>560</v>
      </c>
      <c r="K102" t="s">
        <v>18</v>
      </c>
      <c r="L102" t="s">
        <v>25</v>
      </c>
      <c r="M102" t="s">
        <v>25</v>
      </c>
    </row>
    <row r="103" spans="1:13" x14ac:dyDescent="0.25">
      <c r="A103" t="s">
        <v>199</v>
      </c>
      <c r="B103" t="s">
        <v>356</v>
      </c>
      <c r="C103" t="s">
        <v>200</v>
      </c>
      <c r="D103">
        <v>55.6</v>
      </c>
      <c r="E103">
        <v>61</v>
      </c>
      <c r="F103">
        <v>60</v>
      </c>
      <c r="G103">
        <v>50</v>
      </c>
      <c r="H103">
        <v>62</v>
      </c>
      <c r="I103">
        <v>45</v>
      </c>
      <c r="J103">
        <v>287</v>
      </c>
      <c r="K103" t="s">
        <v>166</v>
      </c>
      <c r="L103" t="s">
        <v>85</v>
      </c>
      <c r="M103" t="s">
        <v>16</v>
      </c>
    </row>
    <row r="104" spans="1:13" x14ac:dyDescent="0.25">
      <c r="A104" t="s">
        <v>158</v>
      </c>
      <c r="B104" t="s">
        <v>353</v>
      </c>
      <c r="C104" t="s">
        <v>27</v>
      </c>
      <c r="D104">
        <v>55.2</v>
      </c>
      <c r="E104">
        <v>61</v>
      </c>
      <c r="F104">
        <v>50</v>
      </c>
      <c r="G104">
        <v>50</v>
      </c>
      <c r="H104">
        <v>70</v>
      </c>
      <c r="I104">
        <v>45</v>
      </c>
      <c r="J104">
        <v>244</v>
      </c>
      <c r="K104" t="s">
        <v>134</v>
      </c>
      <c r="L104" t="s">
        <v>100</v>
      </c>
      <c r="M104" t="s">
        <v>16</v>
      </c>
    </row>
    <row r="105" spans="1:13" x14ac:dyDescent="0.25">
      <c r="A105" t="s">
        <v>281</v>
      </c>
      <c r="B105" t="s">
        <v>321</v>
      </c>
      <c r="C105" t="s">
        <v>282</v>
      </c>
      <c r="D105">
        <v>55.2</v>
      </c>
      <c r="E105">
        <v>46</v>
      </c>
      <c r="F105">
        <v>60</v>
      </c>
      <c r="G105">
        <v>55</v>
      </c>
      <c r="H105">
        <v>62</v>
      </c>
      <c r="I105">
        <v>53</v>
      </c>
      <c r="J105">
        <v>217</v>
      </c>
      <c r="K105" t="s">
        <v>237</v>
      </c>
      <c r="L105" t="s">
        <v>69</v>
      </c>
      <c r="M105" t="s">
        <v>5</v>
      </c>
    </row>
    <row r="106" spans="1:13" x14ac:dyDescent="0.25">
      <c r="A106" t="s">
        <v>281</v>
      </c>
      <c r="B106" t="s">
        <v>321</v>
      </c>
      <c r="C106" t="s">
        <v>282</v>
      </c>
      <c r="D106">
        <v>55.2</v>
      </c>
      <c r="E106">
        <v>46</v>
      </c>
      <c r="F106">
        <v>60</v>
      </c>
      <c r="G106">
        <v>55</v>
      </c>
      <c r="H106">
        <v>62</v>
      </c>
      <c r="I106">
        <v>53</v>
      </c>
      <c r="J106">
        <v>217</v>
      </c>
      <c r="K106" t="s">
        <v>237</v>
      </c>
      <c r="L106" t="s">
        <v>69</v>
      </c>
      <c r="M106" t="s">
        <v>5</v>
      </c>
    </row>
    <row r="107" spans="1:13" x14ac:dyDescent="0.25">
      <c r="A107" t="s">
        <v>204</v>
      </c>
      <c r="B107" t="s">
        <v>357</v>
      </c>
      <c r="C107" t="s">
        <v>205</v>
      </c>
      <c r="D107">
        <v>55</v>
      </c>
      <c r="E107">
        <v>62</v>
      </c>
      <c r="F107">
        <v>55</v>
      </c>
      <c r="G107">
        <v>50</v>
      </c>
      <c r="H107">
        <v>58</v>
      </c>
      <c r="I107">
        <v>50</v>
      </c>
      <c r="J107">
        <v>185</v>
      </c>
      <c r="K107" t="s">
        <v>11</v>
      </c>
      <c r="L107" t="s">
        <v>65</v>
      </c>
      <c r="M107" t="s">
        <v>19</v>
      </c>
    </row>
    <row r="108" spans="1:13" x14ac:dyDescent="0.25">
      <c r="A108" t="s">
        <v>124</v>
      </c>
      <c r="B108" t="s">
        <v>353</v>
      </c>
      <c r="C108" t="s">
        <v>27</v>
      </c>
      <c r="D108">
        <v>54.8</v>
      </c>
      <c r="E108">
        <v>55</v>
      </c>
      <c r="F108">
        <v>70</v>
      </c>
      <c r="G108">
        <v>45</v>
      </c>
      <c r="H108">
        <v>54</v>
      </c>
      <c r="I108">
        <v>50</v>
      </c>
      <c r="J108">
        <v>223</v>
      </c>
      <c r="K108" t="s">
        <v>85</v>
      </c>
      <c r="L108" t="s">
        <v>125</v>
      </c>
      <c r="M108" t="s">
        <v>90</v>
      </c>
    </row>
    <row r="109" spans="1:13" x14ac:dyDescent="0.25">
      <c r="A109" t="s">
        <v>307</v>
      </c>
      <c r="B109" t="s">
        <v>338</v>
      </c>
      <c r="C109" t="s">
        <v>61</v>
      </c>
      <c r="D109">
        <v>54.6</v>
      </c>
      <c r="E109">
        <v>49</v>
      </c>
      <c r="F109">
        <v>55</v>
      </c>
      <c r="G109">
        <v>50</v>
      </c>
      <c r="H109">
        <v>54</v>
      </c>
      <c r="I109">
        <v>65</v>
      </c>
      <c r="J109">
        <v>314</v>
      </c>
      <c r="K109" t="s">
        <v>93</v>
      </c>
      <c r="L109" t="s">
        <v>134</v>
      </c>
      <c r="M109" t="s">
        <v>134</v>
      </c>
    </row>
    <row r="110" spans="1:13" x14ac:dyDescent="0.25">
      <c r="A110" t="s">
        <v>83</v>
      </c>
      <c r="B110" t="s">
        <v>358</v>
      </c>
      <c r="C110" t="s">
        <v>84</v>
      </c>
      <c r="D110">
        <v>54.6</v>
      </c>
      <c r="E110">
        <v>55</v>
      </c>
      <c r="F110">
        <v>60</v>
      </c>
      <c r="G110">
        <v>50</v>
      </c>
      <c r="H110">
        <v>58</v>
      </c>
      <c r="I110">
        <v>50</v>
      </c>
      <c r="J110">
        <v>399</v>
      </c>
      <c r="K110" t="s">
        <v>24</v>
      </c>
      <c r="L110" t="s">
        <v>85</v>
      </c>
      <c r="M110" t="s">
        <v>44</v>
      </c>
    </row>
    <row r="111" spans="1:13" x14ac:dyDescent="0.25">
      <c r="A111" t="s">
        <v>76</v>
      </c>
      <c r="B111" t="s">
        <v>316</v>
      </c>
      <c r="C111" t="s">
        <v>52</v>
      </c>
      <c r="D111">
        <v>54.4</v>
      </c>
      <c r="E111">
        <v>64</v>
      </c>
      <c r="F111">
        <v>60</v>
      </c>
      <c r="G111">
        <v>45</v>
      </c>
      <c r="H111">
        <v>58</v>
      </c>
      <c r="I111">
        <v>45</v>
      </c>
      <c r="J111">
        <v>499</v>
      </c>
      <c r="K111" t="s">
        <v>77</v>
      </c>
      <c r="L111" t="s">
        <v>50</v>
      </c>
      <c r="M111" t="s">
        <v>16</v>
      </c>
    </row>
    <row r="112" spans="1:13" x14ac:dyDescent="0.25">
      <c r="A112" t="s">
        <v>296</v>
      </c>
      <c r="B112" t="s">
        <v>353</v>
      </c>
      <c r="C112" t="s">
        <v>27</v>
      </c>
      <c r="D112">
        <v>54.2</v>
      </c>
      <c r="E112">
        <v>73</v>
      </c>
      <c r="F112">
        <v>50</v>
      </c>
      <c r="G112">
        <v>45</v>
      </c>
      <c r="H112">
        <v>58</v>
      </c>
      <c r="I112">
        <v>45</v>
      </c>
      <c r="J112">
        <v>229</v>
      </c>
      <c r="K112" t="s">
        <v>5</v>
      </c>
      <c r="L112" t="s">
        <v>297</v>
      </c>
      <c r="M112" t="s">
        <v>82</v>
      </c>
    </row>
    <row r="113" spans="1:13" x14ac:dyDescent="0.25">
      <c r="A113" t="s">
        <v>296</v>
      </c>
      <c r="B113" t="s">
        <v>353</v>
      </c>
      <c r="C113" t="s">
        <v>27</v>
      </c>
      <c r="D113">
        <v>54.2</v>
      </c>
      <c r="E113">
        <v>73</v>
      </c>
      <c r="F113">
        <v>50</v>
      </c>
      <c r="G113">
        <v>45</v>
      </c>
      <c r="H113">
        <v>58</v>
      </c>
      <c r="I113">
        <v>45</v>
      </c>
      <c r="J113">
        <v>229</v>
      </c>
      <c r="K113" t="s">
        <v>5</v>
      </c>
      <c r="L113" t="s">
        <v>297</v>
      </c>
      <c r="M113" t="s">
        <v>82</v>
      </c>
    </row>
    <row r="114" spans="1:13" x14ac:dyDescent="0.25">
      <c r="A114" t="s">
        <v>97</v>
      </c>
      <c r="B114" t="s">
        <v>359</v>
      </c>
      <c r="C114" t="s">
        <v>98</v>
      </c>
      <c r="D114">
        <v>54.2</v>
      </c>
      <c r="E114">
        <v>67</v>
      </c>
      <c r="F114">
        <v>50</v>
      </c>
      <c r="G114">
        <v>55</v>
      </c>
      <c r="H114">
        <v>54</v>
      </c>
      <c r="I114">
        <v>45</v>
      </c>
      <c r="J114">
        <v>445</v>
      </c>
      <c r="K114" t="s">
        <v>28</v>
      </c>
      <c r="L114" t="s">
        <v>16</v>
      </c>
      <c r="M114" t="s">
        <v>16</v>
      </c>
    </row>
    <row r="115" spans="1:13" x14ac:dyDescent="0.25">
      <c r="A115" t="s">
        <v>137</v>
      </c>
      <c r="B115" t="s">
        <v>317</v>
      </c>
      <c r="C115" t="s">
        <v>30</v>
      </c>
      <c r="D115">
        <v>54.2</v>
      </c>
      <c r="E115">
        <v>49</v>
      </c>
      <c r="F115">
        <v>55</v>
      </c>
      <c r="G115">
        <v>50</v>
      </c>
      <c r="H115">
        <v>72</v>
      </c>
      <c r="I115">
        <v>45</v>
      </c>
      <c r="J115">
        <v>918</v>
      </c>
      <c r="K115" t="s">
        <v>18</v>
      </c>
      <c r="L115" t="s">
        <v>37</v>
      </c>
      <c r="M115" t="s">
        <v>16</v>
      </c>
    </row>
    <row r="116" spans="1:13" x14ac:dyDescent="0.25">
      <c r="A116" t="s">
        <v>258</v>
      </c>
      <c r="B116" t="s">
        <v>338</v>
      </c>
      <c r="C116" t="s">
        <v>61</v>
      </c>
      <c r="D116">
        <v>54.2</v>
      </c>
      <c r="E116">
        <v>49</v>
      </c>
      <c r="F116">
        <v>60</v>
      </c>
      <c r="G116">
        <v>50</v>
      </c>
      <c r="H116">
        <v>62</v>
      </c>
      <c r="I116">
        <v>50</v>
      </c>
      <c r="J116">
        <v>123</v>
      </c>
      <c r="K116" t="s">
        <v>122</v>
      </c>
      <c r="L116" t="s">
        <v>36</v>
      </c>
      <c r="M116" t="s">
        <v>134</v>
      </c>
    </row>
    <row r="117" spans="1:13" x14ac:dyDescent="0.25">
      <c r="A117" t="s">
        <v>151</v>
      </c>
      <c r="B117" t="s">
        <v>360</v>
      </c>
      <c r="C117" t="s">
        <v>152</v>
      </c>
      <c r="D117">
        <v>54</v>
      </c>
      <c r="E117">
        <v>58</v>
      </c>
      <c r="F117">
        <v>50</v>
      </c>
      <c r="G117">
        <v>55</v>
      </c>
      <c r="H117">
        <v>62</v>
      </c>
      <c r="I117">
        <v>45</v>
      </c>
      <c r="J117">
        <v>190</v>
      </c>
      <c r="K117" t="s">
        <v>16</v>
      </c>
      <c r="L117" t="s">
        <v>112</v>
      </c>
      <c r="M117" t="s">
        <v>80</v>
      </c>
    </row>
    <row r="118" spans="1:13" x14ac:dyDescent="0.25">
      <c r="A118" t="s">
        <v>151</v>
      </c>
      <c r="B118" t="s">
        <v>360</v>
      </c>
      <c r="C118" t="s">
        <v>152</v>
      </c>
      <c r="D118">
        <v>54</v>
      </c>
      <c r="E118">
        <v>58</v>
      </c>
      <c r="F118">
        <v>50</v>
      </c>
      <c r="G118">
        <v>55</v>
      </c>
      <c r="H118">
        <v>62</v>
      </c>
      <c r="I118">
        <v>45</v>
      </c>
      <c r="J118">
        <v>190</v>
      </c>
      <c r="K118" t="s">
        <v>16</v>
      </c>
      <c r="L118" t="s">
        <v>112</v>
      </c>
      <c r="M118" t="s">
        <v>80</v>
      </c>
    </row>
    <row r="119" spans="1:13" x14ac:dyDescent="0.25">
      <c r="A119" t="s">
        <v>172</v>
      </c>
      <c r="B119" t="s">
        <v>338</v>
      </c>
      <c r="C119" t="s">
        <v>61</v>
      </c>
      <c r="D119">
        <v>53.8</v>
      </c>
      <c r="E119">
        <v>52</v>
      </c>
      <c r="F119">
        <v>55</v>
      </c>
      <c r="G119">
        <v>55</v>
      </c>
      <c r="H119">
        <v>62</v>
      </c>
      <c r="I119">
        <v>45</v>
      </c>
      <c r="J119">
        <v>134</v>
      </c>
      <c r="K119" t="s">
        <v>25</v>
      </c>
      <c r="L119" t="s">
        <v>18</v>
      </c>
      <c r="M119" t="s">
        <v>25</v>
      </c>
    </row>
    <row r="120" spans="1:13" x14ac:dyDescent="0.25">
      <c r="A120" t="s">
        <v>184</v>
      </c>
      <c r="B120" t="s">
        <v>361</v>
      </c>
      <c r="C120" t="s">
        <v>185</v>
      </c>
      <c r="D120">
        <v>53.6</v>
      </c>
      <c r="E120">
        <v>49</v>
      </c>
      <c r="F120">
        <v>55</v>
      </c>
      <c r="G120">
        <v>65</v>
      </c>
      <c r="H120">
        <v>54</v>
      </c>
      <c r="I120">
        <v>45</v>
      </c>
      <c r="J120">
        <v>151</v>
      </c>
      <c r="K120" t="s">
        <v>65</v>
      </c>
      <c r="L120" t="s">
        <v>44</v>
      </c>
      <c r="M120" t="s">
        <v>16</v>
      </c>
    </row>
    <row r="121" spans="1:13" x14ac:dyDescent="0.25">
      <c r="A121" t="s">
        <v>161</v>
      </c>
      <c r="B121" t="s">
        <v>360</v>
      </c>
      <c r="C121" t="s">
        <v>152</v>
      </c>
      <c r="D121">
        <v>53.6</v>
      </c>
      <c r="E121">
        <v>52</v>
      </c>
      <c r="F121">
        <v>50</v>
      </c>
      <c r="G121">
        <v>50</v>
      </c>
      <c r="H121">
        <v>66</v>
      </c>
      <c r="I121">
        <v>50</v>
      </c>
      <c r="J121">
        <v>236</v>
      </c>
      <c r="K121" t="s">
        <v>65</v>
      </c>
      <c r="L121" t="s">
        <v>44</v>
      </c>
      <c r="M121" t="s">
        <v>16</v>
      </c>
    </row>
    <row r="122" spans="1:13" x14ac:dyDescent="0.25">
      <c r="A122" t="s">
        <v>299</v>
      </c>
      <c r="B122" t="s">
        <v>360</v>
      </c>
      <c r="C122" t="s">
        <v>152</v>
      </c>
      <c r="D122">
        <v>53.2</v>
      </c>
      <c r="E122">
        <v>58</v>
      </c>
      <c r="F122">
        <v>50</v>
      </c>
      <c r="G122">
        <v>50</v>
      </c>
      <c r="H122">
        <v>58</v>
      </c>
      <c r="I122">
        <v>50</v>
      </c>
      <c r="J122">
        <v>178</v>
      </c>
      <c r="K122" t="s">
        <v>24</v>
      </c>
      <c r="L122" t="s">
        <v>24</v>
      </c>
      <c r="M122" t="s">
        <v>190</v>
      </c>
    </row>
    <row r="123" spans="1:13" x14ac:dyDescent="0.25">
      <c r="A123" t="s">
        <v>164</v>
      </c>
      <c r="B123" t="s">
        <v>317</v>
      </c>
      <c r="C123" t="s">
        <v>30</v>
      </c>
      <c r="D123">
        <v>53.2</v>
      </c>
      <c r="E123">
        <v>58</v>
      </c>
      <c r="F123">
        <v>60</v>
      </c>
      <c r="G123">
        <v>45</v>
      </c>
      <c r="H123">
        <v>58</v>
      </c>
      <c r="I123">
        <v>45</v>
      </c>
      <c r="J123">
        <v>214</v>
      </c>
      <c r="K123" t="s">
        <v>11</v>
      </c>
      <c r="L123" t="s">
        <v>15</v>
      </c>
      <c r="M123" t="s">
        <v>16</v>
      </c>
    </row>
    <row r="124" spans="1:13" x14ac:dyDescent="0.25">
      <c r="A124" t="s">
        <v>206</v>
      </c>
      <c r="B124" t="s">
        <v>317</v>
      </c>
      <c r="C124" t="s">
        <v>30</v>
      </c>
      <c r="D124">
        <v>53</v>
      </c>
      <c r="E124">
        <v>46</v>
      </c>
      <c r="F124">
        <v>60</v>
      </c>
      <c r="G124">
        <v>55</v>
      </c>
      <c r="H124">
        <v>54</v>
      </c>
      <c r="I124">
        <v>50</v>
      </c>
      <c r="J124">
        <v>239</v>
      </c>
      <c r="K124" t="s">
        <v>16</v>
      </c>
      <c r="L124" t="s">
        <v>28</v>
      </c>
      <c r="M124" t="s">
        <v>16</v>
      </c>
    </row>
    <row r="125" spans="1:13" x14ac:dyDescent="0.25">
      <c r="A125" t="s">
        <v>234</v>
      </c>
      <c r="B125" t="s">
        <v>317</v>
      </c>
      <c r="C125" t="s">
        <v>30</v>
      </c>
      <c r="D125">
        <v>53</v>
      </c>
      <c r="E125">
        <v>46</v>
      </c>
      <c r="F125">
        <v>60</v>
      </c>
      <c r="G125">
        <v>55</v>
      </c>
      <c r="H125">
        <v>54</v>
      </c>
      <c r="I125">
        <v>50</v>
      </c>
      <c r="J125">
        <v>239</v>
      </c>
      <c r="K125" t="s">
        <v>16</v>
      </c>
      <c r="L125" t="s">
        <v>28</v>
      </c>
      <c r="M125" t="s">
        <v>16</v>
      </c>
    </row>
    <row r="126" spans="1:13" x14ac:dyDescent="0.25">
      <c r="A126" t="s">
        <v>247</v>
      </c>
      <c r="B126" t="s">
        <v>362</v>
      </c>
      <c r="C126" t="s">
        <v>248</v>
      </c>
      <c r="D126">
        <v>53</v>
      </c>
      <c r="E126">
        <v>62</v>
      </c>
      <c r="F126">
        <v>60</v>
      </c>
      <c r="G126">
        <v>45</v>
      </c>
      <c r="H126">
        <v>50</v>
      </c>
      <c r="I126">
        <v>48</v>
      </c>
      <c r="J126">
        <v>195</v>
      </c>
      <c r="K126" t="s">
        <v>16</v>
      </c>
      <c r="L126" t="s">
        <v>28</v>
      </c>
      <c r="M126" t="s">
        <v>16</v>
      </c>
    </row>
    <row r="127" spans="1:13" x14ac:dyDescent="0.25">
      <c r="A127" t="s">
        <v>66</v>
      </c>
      <c r="B127" t="s">
        <v>327</v>
      </c>
      <c r="C127" t="s">
        <v>67</v>
      </c>
      <c r="D127">
        <v>53</v>
      </c>
      <c r="E127">
        <v>46</v>
      </c>
      <c r="F127">
        <v>60</v>
      </c>
      <c r="G127">
        <v>60</v>
      </c>
      <c r="H127">
        <v>54</v>
      </c>
      <c r="I127">
        <v>45</v>
      </c>
      <c r="J127">
        <v>217</v>
      </c>
      <c r="K127" t="s">
        <v>16</v>
      </c>
      <c r="L127" t="s">
        <v>28</v>
      </c>
      <c r="M127" t="s">
        <v>16</v>
      </c>
    </row>
    <row r="128" spans="1:13" x14ac:dyDescent="0.25">
      <c r="A128" t="s">
        <v>218</v>
      </c>
      <c r="B128" t="s">
        <v>327</v>
      </c>
      <c r="C128" t="s">
        <v>67</v>
      </c>
      <c r="D128">
        <v>53</v>
      </c>
      <c r="E128">
        <v>52</v>
      </c>
      <c r="F128">
        <v>55</v>
      </c>
      <c r="G128">
        <v>55</v>
      </c>
      <c r="H128">
        <v>58</v>
      </c>
      <c r="I128">
        <v>45</v>
      </c>
      <c r="J128">
        <v>223</v>
      </c>
      <c r="K128" t="s">
        <v>190</v>
      </c>
      <c r="L128" t="s">
        <v>194</v>
      </c>
      <c r="M128" t="s">
        <v>16</v>
      </c>
    </row>
    <row r="129" spans="1:13" x14ac:dyDescent="0.25">
      <c r="A129" t="s">
        <v>34</v>
      </c>
      <c r="B129" t="s">
        <v>363</v>
      </c>
      <c r="C129" t="s">
        <v>35</v>
      </c>
      <c r="D129">
        <v>52.8</v>
      </c>
      <c r="E129">
        <v>59</v>
      </c>
      <c r="F129">
        <v>60</v>
      </c>
      <c r="G129">
        <v>50</v>
      </c>
      <c r="H129">
        <v>50</v>
      </c>
      <c r="I129">
        <v>45</v>
      </c>
      <c r="J129">
        <v>152</v>
      </c>
      <c r="K129" t="s">
        <v>16</v>
      </c>
      <c r="L129" t="s">
        <v>28</v>
      </c>
      <c r="M129" t="s">
        <v>16</v>
      </c>
    </row>
    <row r="130" spans="1:13" x14ac:dyDescent="0.25">
      <c r="A130" t="s">
        <v>126</v>
      </c>
      <c r="B130" t="s">
        <v>364</v>
      </c>
      <c r="C130" t="s">
        <v>127</v>
      </c>
      <c r="D130">
        <v>52.6</v>
      </c>
      <c r="E130">
        <v>40</v>
      </c>
      <c r="F130">
        <v>70</v>
      </c>
      <c r="G130">
        <v>50</v>
      </c>
      <c r="H130">
        <v>58</v>
      </c>
      <c r="I130">
        <v>45</v>
      </c>
      <c r="J130">
        <v>267</v>
      </c>
      <c r="K130" t="s">
        <v>50</v>
      </c>
      <c r="L130" t="s">
        <v>42</v>
      </c>
      <c r="M130" t="s">
        <v>3</v>
      </c>
    </row>
    <row r="131" spans="1:13" x14ac:dyDescent="0.25">
      <c r="A131" t="s">
        <v>149</v>
      </c>
      <c r="B131" t="s">
        <v>317</v>
      </c>
      <c r="C131" t="s">
        <v>30</v>
      </c>
      <c r="D131">
        <v>52.6</v>
      </c>
      <c r="E131">
        <v>49</v>
      </c>
      <c r="F131">
        <v>60</v>
      </c>
      <c r="G131">
        <v>55</v>
      </c>
      <c r="H131">
        <v>54</v>
      </c>
      <c r="I131">
        <v>45</v>
      </c>
      <c r="J131">
        <v>218</v>
      </c>
      <c r="K131" t="s">
        <v>16</v>
      </c>
      <c r="L131" t="s">
        <v>28</v>
      </c>
      <c r="M131" t="s">
        <v>16</v>
      </c>
    </row>
    <row r="132" spans="1:13" x14ac:dyDescent="0.25">
      <c r="A132" t="s">
        <v>227</v>
      </c>
      <c r="B132" t="s">
        <v>365</v>
      </c>
      <c r="C132" t="s">
        <v>105</v>
      </c>
      <c r="D132">
        <v>52.4</v>
      </c>
      <c r="E132">
        <v>52</v>
      </c>
      <c r="F132">
        <v>55</v>
      </c>
      <c r="G132">
        <v>55</v>
      </c>
      <c r="H132">
        <v>50</v>
      </c>
      <c r="I132">
        <v>50</v>
      </c>
      <c r="J132">
        <v>159</v>
      </c>
      <c r="K132" t="s">
        <v>11</v>
      </c>
      <c r="L132" t="s">
        <v>8</v>
      </c>
      <c r="M132" t="s">
        <v>50</v>
      </c>
    </row>
    <row r="133" spans="1:13" x14ac:dyDescent="0.25">
      <c r="A133" t="s">
        <v>160</v>
      </c>
      <c r="B133" t="s">
        <v>316</v>
      </c>
      <c r="C133" t="s">
        <v>52</v>
      </c>
      <c r="D133">
        <v>52.4</v>
      </c>
      <c r="E133">
        <v>58</v>
      </c>
      <c r="F133">
        <v>55</v>
      </c>
      <c r="G133">
        <v>50</v>
      </c>
      <c r="H133">
        <v>54</v>
      </c>
      <c r="I133">
        <v>45</v>
      </c>
      <c r="J133">
        <v>133</v>
      </c>
      <c r="K133" t="s">
        <v>42</v>
      </c>
      <c r="L133" t="s">
        <v>42</v>
      </c>
      <c r="M133" t="s">
        <v>16</v>
      </c>
    </row>
    <row r="134" spans="1:13" x14ac:dyDescent="0.25">
      <c r="A134" t="s">
        <v>189</v>
      </c>
      <c r="B134" t="s">
        <v>365</v>
      </c>
      <c r="C134" t="s">
        <v>105</v>
      </c>
      <c r="D134">
        <v>52.4</v>
      </c>
      <c r="E134">
        <v>52</v>
      </c>
      <c r="F134">
        <v>55</v>
      </c>
      <c r="G134">
        <v>55</v>
      </c>
      <c r="H134">
        <v>50</v>
      </c>
      <c r="I134">
        <v>50</v>
      </c>
      <c r="J134">
        <v>142</v>
      </c>
      <c r="K134" t="s">
        <v>44</v>
      </c>
      <c r="L134" t="s">
        <v>119</v>
      </c>
      <c r="M134" t="s">
        <v>190</v>
      </c>
    </row>
    <row r="135" spans="1:13" x14ac:dyDescent="0.25">
      <c r="A135" t="s">
        <v>169</v>
      </c>
      <c r="B135" t="s">
        <v>316</v>
      </c>
      <c r="C135" t="s">
        <v>52</v>
      </c>
      <c r="D135">
        <v>52</v>
      </c>
      <c r="E135">
        <v>55</v>
      </c>
      <c r="F135">
        <v>55</v>
      </c>
      <c r="G135">
        <v>55</v>
      </c>
      <c r="H135">
        <v>50</v>
      </c>
      <c r="I135">
        <v>45</v>
      </c>
      <c r="J135">
        <v>151</v>
      </c>
      <c r="K135" t="s">
        <v>16</v>
      </c>
      <c r="L135" t="s">
        <v>28</v>
      </c>
      <c r="M135" t="s">
        <v>16</v>
      </c>
    </row>
    <row r="136" spans="1:13" x14ac:dyDescent="0.25">
      <c r="A136" t="s">
        <v>115</v>
      </c>
      <c r="B136" t="s">
        <v>338</v>
      </c>
      <c r="C136" t="s">
        <v>61</v>
      </c>
      <c r="D136">
        <v>51.8</v>
      </c>
      <c r="E136">
        <v>52</v>
      </c>
      <c r="F136">
        <v>55</v>
      </c>
      <c r="G136">
        <v>45</v>
      </c>
      <c r="H136">
        <v>62</v>
      </c>
      <c r="I136">
        <v>45</v>
      </c>
      <c r="J136">
        <v>228</v>
      </c>
      <c r="K136" t="s">
        <v>37</v>
      </c>
      <c r="L136" t="s">
        <v>116</v>
      </c>
      <c r="M136" t="s">
        <v>75</v>
      </c>
    </row>
    <row r="137" spans="1:13" x14ac:dyDescent="0.25">
      <c r="A137" t="s">
        <v>115</v>
      </c>
      <c r="B137" t="s">
        <v>338</v>
      </c>
      <c r="C137" t="s">
        <v>61</v>
      </c>
      <c r="D137">
        <v>51.8</v>
      </c>
      <c r="E137">
        <v>52</v>
      </c>
      <c r="F137">
        <v>55</v>
      </c>
      <c r="G137">
        <v>45</v>
      </c>
      <c r="H137">
        <v>62</v>
      </c>
      <c r="I137">
        <v>45</v>
      </c>
      <c r="J137">
        <v>228</v>
      </c>
      <c r="K137" t="s">
        <v>37</v>
      </c>
      <c r="L137" t="s">
        <v>116</v>
      </c>
      <c r="M137" t="s">
        <v>75</v>
      </c>
    </row>
    <row r="138" spans="1:13" x14ac:dyDescent="0.25">
      <c r="A138" t="s">
        <v>289</v>
      </c>
      <c r="B138" t="s">
        <v>317</v>
      </c>
      <c r="C138" t="s">
        <v>30</v>
      </c>
      <c r="D138">
        <v>51.8</v>
      </c>
      <c r="E138">
        <v>64</v>
      </c>
      <c r="F138">
        <v>50</v>
      </c>
      <c r="G138">
        <v>50</v>
      </c>
      <c r="H138">
        <v>50</v>
      </c>
      <c r="I138">
        <v>45</v>
      </c>
      <c r="J138">
        <v>232</v>
      </c>
      <c r="K138" t="s">
        <v>9</v>
      </c>
      <c r="L138" t="s">
        <v>65</v>
      </c>
      <c r="M138" t="s">
        <v>37</v>
      </c>
    </row>
    <row r="139" spans="1:13" x14ac:dyDescent="0.25">
      <c r="A139" t="s">
        <v>214</v>
      </c>
      <c r="B139" t="s">
        <v>353</v>
      </c>
      <c r="C139" t="s">
        <v>27</v>
      </c>
      <c r="D139">
        <v>51.6</v>
      </c>
      <c r="E139">
        <v>49</v>
      </c>
      <c r="F139">
        <v>55</v>
      </c>
      <c r="G139">
        <v>50</v>
      </c>
      <c r="H139">
        <v>54</v>
      </c>
      <c r="I139">
        <v>50</v>
      </c>
      <c r="J139">
        <v>227</v>
      </c>
      <c r="K139" t="s">
        <v>9</v>
      </c>
      <c r="L139" t="s">
        <v>56</v>
      </c>
      <c r="M139" t="s">
        <v>33</v>
      </c>
    </row>
    <row r="140" spans="1:13" x14ac:dyDescent="0.25">
      <c r="A140" t="s">
        <v>214</v>
      </c>
      <c r="B140" t="s">
        <v>353</v>
      </c>
      <c r="C140" t="s">
        <v>27</v>
      </c>
      <c r="D140">
        <v>51.6</v>
      </c>
      <c r="E140">
        <v>49</v>
      </c>
      <c r="F140">
        <v>55</v>
      </c>
      <c r="G140">
        <v>50</v>
      </c>
      <c r="H140">
        <v>54</v>
      </c>
      <c r="I140">
        <v>50</v>
      </c>
      <c r="J140">
        <v>227</v>
      </c>
      <c r="K140" t="s">
        <v>9</v>
      </c>
      <c r="L140" t="s">
        <v>56</v>
      </c>
      <c r="M140" t="s">
        <v>33</v>
      </c>
    </row>
    <row r="141" spans="1:13" x14ac:dyDescent="0.25">
      <c r="A141" t="e">
        <v>#NAME?</v>
      </c>
      <c r="B141" t="s">
        <v>326</v>
      </c>
      <c r="C141" t="s">
        <v>6</v>
      </c>
      <c r="D141">
        <v>51.2</v>
      </c>
      <c r="E141">
        <v>43</v>
      </c>
      <c r="F141">
        <v>50</v>
      </c>
      <c r="G141">
        <v>55</v>
      </c>
      <c r="H141">
        <v>58</v>
      </c>
      <c r="I141">
        <v>50</v>
      </c>
      <c r="J141">
        <v>136</v>
      </c>
      <c r="K141">
        <v>0</v>
      </c>
      <c r="L141">
        <v>0</v>
      </c>
      <c r="M141">
        <v>0</v>
      </c>
    </row>
    <row r="142" spans="1:13" x14ac:dyDescent="0.25">
      <c r="A142" t="s">
        <v>229</v>
      </c>
      <c r="B142" t="s">
        <v>327</v>
      </c>
      <c r="C142" t="s">
        <v>67</v>
      </c>
      <c r="D142">
        <v>51.2</v>
      </c>
      <c r="E142">
        <v>55</v>
      </c>
      <c r="F142">
        <v>55</v>
      </c>
      <c r="G142">
        <v>45</v>
      </c>
      <c r="H142">
        <v>50</v>
      </c>
      <c r="I142">
        <v>51</v>
      </c>
      <c r="J142">
        <v>111</v>
      </c>
      <c r="K142" t="s">
        <v>92</v>
      </c>
      <c r="L142" t="s">
        <v>88</v>
      </c>
      <c r="M142" t="s">
        <v>13</v>
      </c>
    </row>
    <row r="143" spans="1:13" x14ac:dyDescent="0.25">
      <c r="A143" t="s">
        <v>246</v>
      </c>
      <c r="B143" t="s">
        <v>353</v>
      </c>
      <c r="C143" t="s">
        <v>27</v>
      </c>
      <c r="D143">
        <v>50.8</v>
      </c>
      <c r="E143">
        <v>46</v>
      </c>
      <c r="F143">
        <v>55</v>
      </c>
      <c r="G143">
        <v>50</v>
      </c>
      <c r="H143">
        <v>58</v>
      </c>
      <c r="I143">
        <v>45</v>
      </c>
      <c r="J143">
        <v>211</v>
      </c>
      <c r="K143" t="s">
        <v>16</v>
      </c>
      <c r="L143" t="s">
        <v>44</v>
      </c>
      <c r="M143" t="s">
        <v>65</v>
      </c>
    </row>
    <row r="144" spans="1:13" x14ac:dyDescent="0.25">
      <c r="A144" t="s">
        <v>29</v>
      </c>
      <c r="B144" t="s">
        <v>317</v>
      </c>
      <c r="C144" t="s">
        <v>30</v>
      </c>
      <c r="D144">
        <v>50.8</v>
      </c>
      <c r="E144">
        <v>46</v>
      </c>
      <c r="F144">
        <v>60</v>
      </c>
      <c r="G144">
        <v>50</v>
      </c>
      <c r="H144">
        <v>50</v>
      </c>
      <c r="I144">
        <v>48</v>
      </c>
      <c r="J144">
        <v>236</v>
      </c>
      <c r="K144" t="s">
        <v>16</v>
      </c>
      <c r="L144" t="s">
        <v>28</v>
      </c>
      <c r="M144" t="s">
        <v>16</v>
      </c>
    </row>
    <row r="145" spans="1:13" x14ac:dyDescent="0.25">
      <c r="A145" t="s">
        <v>251</v>
      </c>
      <c r="B145" t="s">
        <v>366</v>
      </c>
      <c r="C145" t="s">
        <v>252</v>
      </c>
      <c r="D145">
        <v>50.6</v>
      </c>
      <c r="E145">
        <v>43</v>
      </c>
      <c r="F145">
        <v>55</v>
      </c>
      <c r="G145">
        <v>55</v>
      </c>
      <c r="H145">
        <v>50</v>
      </c>
      <c r="I145">
        <v>50</v>
      </c>
      <c r="J145">
        <v>225</v>
      </c>
      <c r="K145" t="s">
        <v>13</v>
      </c>
      <c r="L145" t="s">
        <v>69</v>
      </c>
      <c r="M145" t="s">
        <v>13</v>
      </c>
    </row>
    <row r="146" spans="1:13" x14ac:dyDescent="0.25">
      <c r="A146" t="s">
        <v>263</v>
      </c>
      <c r="B146" t="s">
        <v>316</v>
      </c>
      <c r="C146" t="s">
        <v>52</v>
      </c>
      <c r="D146">
        <v>50.6</v>
      </c>
      <c r="E146">
        <v>58</v>
      </c>
      <c r="F146">
        <v>50</v>
      </c>
      <c r="G146">
        <v>50</v>
      </c>
      <c r="H146">
        <v>50</v>
      </c>
      <c r="I146">
        <v>45</v>
      </c>
      <c r="J146">
        <v>150</v>
      </c>
      <c r="K146" t="s">
        <v>16</v>
      </c>
      <c r="L146" t="s">
        <v>28</v>
      </c>
      <c r="M146" t="s">
        <v>16</v>
      </c>
    </row>
    <row r="147" spans="1:13" x14ac:dyDescent="0.25">
      <c r="A147" t="s">
        <v>179</v>
      </c>
      <c r="B147" t="s">
        <v>367</v>
      </c>
      <c r="C147" t="s">
        <v>180</v>
      </c>
      <c r="D147">
        <v>50.4</v>
      </c>
      <c r="E147">
        <v>52</v>
      </c>
      <c r="F147">
        <v>60</v>
      </c>
      <c r="G147">
        <v>45</v>
      </c>
      <c r="H147">
        <v>50</v>
      </c>
      <c r="I147">
        <v>45</v>
      </c>
      <c r="J147">
        <v>169</v>
      </c>
      <c r="K147" t="s">
        <v>16</v>
      </c>
      <c r="L147" t="s">
        <v>28</v>
      </c>
      <c r="M147" t="s">
        <v>16</v>
      </c>
    </row>
    <row r="148" spans="1:13" x14ac:dyDescent="0.25">
      <c r="A148" t="s">
        <v>298</v>
      </c>
      <c r="B148" t="s">
        <v>353</v>
      </c>
      <c r="C148" t="s">
        <v>27</v>
      </c>
      <c r="D148">
        <v>50.4</v>
      </c>
      <c r="E148">
        <v>49</v>
      </c>
      <c r="F148">
        <v>50</v>
      </c>
      <c r="G148">
        <v>45</v>
      </c>
      <c r="H148">
        <v>58</v>
      </c>
      <c r="I148">
        <v>50</v>
      </c>
      <c r="J148">
        <v>249</v>
      </c>
      <c r="K148" t="s">
        <v>39</v>
      </c>
      <c r="L148" t="s">
        <v>250</v>
      </c>
      <c r="M148" t="s">
        <v>19</v>
      </c>
    </row>
    <row r="149" spans="1:13" x14ac:dyDescent="0.25">
      <c r="A149" t="s">
        <v>243</v>
      </c>
      <c r="B149" t="s">
        <v>338</v>
      </c>
      <c r="C149" t="s">
        <v>61</v>
      </c>
      <c r="D149">
        <v>50.4</v>
      </c>
      <c r="E149">
        <v>43</v>
      </c>
      <c r="F149">
        <v>55</v>
      </c>
      <c r="G149">
        <v>45</v>
      </c>
      <c r="H149">
        <v>54</v>
      </c>
      <c r="I149">
        <v>55</v>
      </c>
      <c r="J149">
        <v>242</v>
      </c>
      <c r="K149" t="s">
        <v>19</v>
      </c>
      <c r="L149" t="s">
        <v>65</v>
      </c>
      <c r="M149" t="s">
        <v>75</v>
      </c>
    </row>
    <row r="150" spans="1:13" x14ac:dyDescent="0.25">
      <c r="A150" t="s">
        <v>202</v>
      </c>
      <c r="B150" t="s">
        <v>329</v>
      </c>
      <c r="C150" t="s">
        <v>23</v>
      </c>
      <c r="D150">
        <v>50.4</v>
      </c>
      <c r="E150">
        <v>49</v>
      </c>
      <c r="F150">
        <v>55</v>
      </c>
      <c r="G150">
        <v>45</v>
      </c>
      <c r="H150">
        <v>58</v>
      </c>
      <c r="I150">
        <v>45</v>
      </c>
      <c r="J150">
        <v>173</v>
      </c>
      <c r="K150" t="s">
        <v>198</v>
      </c>
      <c r="L150" t="s">
        <v>73</v>
      </c>
      <c r="M150" t="s">
        <v>101</v>
      </c>
    </row>
    <row r="151" spans="1:13" x14ac:dyDescent="0.25">
      <c r="A151" t="s">
        <v>306</v>
      </c>
      <c r="B151" t="s">
        <v>326</v>
      </c>
      <c r="C151" t="s">
        <v>6</v>
      </c>
      <c r="D151">
        <v>49.8</v>
      </c>
      <c r="E151">
        <v>49</v>
      </c>
      <c r="F151">
        <v>60</v>
      </c>
      <c r="G151">
        <v>45</v>
      </c>
      <c r="H151">
        <v>50</v>
      </c>
      <c r="I151">
        <v>45</v>
      </c>
      <c r="J151">
        <v>151</v>
      </c>
      <c r="K151" t="s">
        <v>25</v>
      </c>
      <c r="L151" t="s">
        <v>112</v>
      </c>
      <c r="M151" t="s">
        <v>16</v>
      </c>
    </row>
    <row r="152" spans="1:13" x14ac:dyDescent="0.25">
      <c r="A152" t="s">
        <v>123</v>
      </c>
      <c r="B152" t="s">
        <v>316</v>
      </c>
      <c r="C152" t="s">
        <v>52</v>
      </c>
      <c r="D152">
        <v>49.8</v>
      </c>
      <c r="E152">
        <v>49</v>
      </c>
      <c r="F152">
        <v>50</v>
      </c>
      <c r="G152">
        <v>50</v>
      </c>
      <c r="H152">
        <v>50</v>
      </c>
      <c r="I152">
        <v>50</v>
      </c>
      <c r="J152">
        <v>129</v>
      </c>
      <c r="K152" t="s">
        <v>16</v>
      </c>
      <c r="L152" t="s">
        <v>28</v>
      </c>
      <c r="M152" t="s">
        <v>16</v>
      </c>
    </row>
    <row r="153" spans="1:13" x14ac:dyDescent="0.25">
      <c r="A153" t="s">
        <v>183</v>
      </c>
      <c r="B153" t="s">
        <v>330</v>
      </c>
      <c r="C153" t="s">
        <v>176</v>
      </c>
      <c r="D153">
        <v>49.8</v>
      </c>
      <c r="E153">
        <v>49</v>
      </c>
      <c r="F153">
        <v>50</v>
      </c>
      <c r="G153">
        <v>55</v>
      </c>
      <c r="H153">
        <v>50</v>
      </c>
      <c r="I153">
        <v>45</v>
      </c>
      <c r="J153">
        <v>113</v>
      </c>
      <c r="K153" t="s">
        <v>16</v>
      </c>
      <c r="L153" t="s">
        <v>18</v>
      </c>
      <c r="M153" t="s">
        <v>37</v>
      </c>
    </row>
    <row r="154" spans="1:13" x14ac:dyDescent="0.25">
      <c r="A154" t="s">
        <v>58</v>
      </c>
      <c r="B154" t="s">
        <v>368</v>
      </c>
      <c r="C154" t="s">
        <v>59</v>
      </c>
      <c r="D154">
        <v>49.6</v>
      </c>
      <c r="E154">
        <v>61</v>
      </c>
      <c r="F154">
        <v>55</v>
      </c>
      <c r="G154">
        <v>45</v>
      </c>
      <c r="H154">
        <v>42</v>
      </c>
      <c r="I154">
        <v>45</v>
      </c>
      <c r="J154">
        <v>94</v>
      </c>
      <c r="K154" t="s">
        <v>42</v>
      </c>
      <c r="L154" t="s">
        <v>42</v>
      </c>
      <c r="M154" t="s">
        <v>16</v>
      </c>
    </row>
    <row r="155" spans="1:13" x14ac:dyDescent="0.25">
      <c r="A155" t="s">
        <v>104</v>
      </c>
      <c r="B155" t="s">
        <v>365</v>
      </c>
      <c r="C155" t="s">
        <v>105</v>
      </c>
      <c r="D155">
        <v>49.6</v>
      </c>
      <c r="E155">
        <v>53</v>
      </c>
      <c r="F155">
        <v>50</v>
      </c>
      <c r="G155">
        <v>50</v>
      </c>
      <c r="H155">
        <v>50</v>
      </c>
      <c r="I155">
        <v>45</v>
      </c>
      <c r="J155">
        <v>155</v>
      </c>
      <c r="K155" t="s">
        <v>106</v>
      </c>
      <c r="L155" t="s">
        <v>42</v>
      </c>
      <c r="M155" t="s">
        <v>13</v>
      </c>
    </row>
    <row r="156" spans="1:13" x14ac:dyDescent="0.25">
      <c r="A156" t="s">
        <v>213</v>
      </c>
      <c r="B156" t="s">
        <v>338</v>
      </c>
      <c r="C156" t="s">
        <v>61</v>
      </c>
      <c r="D156">
        <v>49.6</v>
      </c>
      <c r="E156">
        <v>49</v>
      </c>
      <c r="F156">
        <v>50</v>
      </c>
      <c r="G156">
        <v>50</v>
      </c>
      <c r="H156">
        <v>54</v>
      </c>
      <c r="I156">
        <v>45</v>
      </c>
      <c r="J156">
        <v>241</v>
      </c>
      <c r="K156" t="s">
        <v>92</v>
      </c>
      <c r="L156" t="s">
        <v>17</v>
      </c>
      <c r="M156" t="s">
        <v>63</v>
      </c>
    </row>
    <row r="157" spans="1:13" x14ac:dyDescent="0.25">
      <c r="A157" t="s">
        <v>86</v>
      </c>
      <c r="B157" t="s">
        <v>353</v>
      </c>
      <c r="C157" t="s">
        <v>27</v>
      </c>
      <c r="D157">
        <v>49.4</v>
      </c>
      <c r="E157">
        <v>43</v>
      </c>
      <c r="F157">
        <v>50</v>
      </c>
      <c r="G157">
        <v>50</v>
      </c>
      <c r="H157">
        <v>54</v>
      </c>
      <c r="I157">
        <v>50</v>
      </c>
      <c r="J157">
        <v>238</v>
      </c>
      <c r="K157" t="s">
        <v>37</v>
      </c>
      <c r="L157" t="s">
        <v>87</v>
      </c>
      <c r="M157" t="s">
        <v>88</v>
      </c>
    </row>
    <row r="158" spans="1:13" x14ac:dyDescent="0.25">
      <c r="A158" t="s">
        <v>233</v>
      </c>
      <c r="B158" t="s">
        <v>369</v>
      </c>
      <c r="C158" t="s">
        <v>187</v>
      </c>
      <c r="D158">
        <v>49.4</v>
      </c>
      <c r="E158">
        <v>43</v>
      </c>
      <c r="F158">
        <v>50</v>
      </c>
      <c r="G158">
        <v>50</v>
      </c>
      <c r="H158">
        <v>54</v>
      </c>
      <c r="I158">
        <v>50</v>
      </c>
      <c r="J158">
        <v>160</v>
      </c>
      <c r="K158" t="s">
        <v>90</v>
      </c>
      <c r="L158" t="s">
        <v>12</v>
      </c>
      <c r="M158" t="s">
        <v>88</v>
      </c>
    </row>
    <row r="159" spans="1:13" x14ac:dyDescent="0.25">
      <c r="A159" t="s">
        <v>233</v>
      </c>
      <c r="B159" t="s">
        <v>369</v>
      </c>
      <c r="C159" t="s">
        <v>187</v>
      </c>
      <c r="D159">
        <v>49.4</v>
      </c>
      <c r="E159">
        <v>43</v>
      </c>
      <c r="F159">
        <v>50</v>
      </c>
      <c r="G159">
        <v>50</v>
      </c>
      <c r="H159">
        <v>54</v>
      </c>
      <c r="I159">
        <v>50</v>
      </c>
      <c r="J159">
        <v>160</v>
      </c>
      <c r="K159" t="s">
        <v>90</v>
      </c>
      <c r="L159" t="s">
        <v>12</v>
      </c>
      <c r="M159" t="s">
        <v>88</v>
      </c>
    </row>
    <row r="160" spans="1:13" x14ac:dyDescent="0.25">
      <c r="A160" t="s">
        <v>178</v>
      </c>
      <c r="B160" t="s">
        <v>317</v>
      </c>
      <c r="C160" t="s">
        <v>30</v>
      </c>
      <c r="D160">
        <v>49.4</v>
      </c>
      <c r="E160">
        <v>52</v>
      </c>
      <c r="F160">
        <v>50</v>
      </c>
      <c r="G160">
        <v>50</v>
      </c>
      <c r="H160">
        <v>50</v>
      </c>
      <c r="I160">
        <v>45</v>
      </c>
      <c r="J160">
        <v>162</v>
      </c>
      <c r="K160" t="s">
        <v>37</v>
      </c>
      <c r="L160" t="s">
        <v>145</v>
      </c>
      <c r="M160" t="s">
        <v>25</v>
      </c>
    </row>
    <row r="161" spans="1:13" x14ac:dyDescent="0.25">
      <c r="A161" t="s">
        <v>74</v>
      </c>
      <c r="B161" t="s">
        <v>338</v>
      </c>
      <c r="C161" t="s">
        <v>61</v>
      </c>
      <c r="D161">
        <v>49.2</v>
      </c>
      <c r="E161">
        <v>46</v>
      </c>
      <c r="F161">
        <v>60</v>
      </c>
      <c r="G161">
        <v>45</v>
      </c>
      <c r="H161">
        <v>50</v>
      </c>
      <c r="I161">
        <v>45</v>
      </c>
      <c r="J161">
        <v>180</v>
      </c>
      <c r="K161" t="s">
        <v>75</v>
      </c>
      <c r="L161" t="s">
        <v>4</v>
      </c>
      <c r="M161" t="s">
        <v>25</v>
      </c>
    </row>
    <row r="162" spans="1:13" x14ac:dyDescent="0.25">
      <c r="A162" t="s">
        <v>102</v>
      </c>
      <c r="B162" t="s">
        <v>316</v>
      </c>
      <c r="C162" t="s">
        <v>52</v>
      </c>
      <c r="D162">
        <v>49.2</v>
      </c>
      <c r="E162">
        <v>46</v>
      </c>
      <c r="F162">
        <v>55</v>
      </c>
      <c r="G162">
        <v>45</v>
      </c>
      <c r="H162">
        <v>50</v>
      </c>
      <c r="I162">
        <v>50</v>
      </c>
      <c r="J162">
        <v>117</v>
      </c>
      <c r="K162" t="s">
        <v>16</v>
      </c>
      <c r="L162" t="s">
        <v>28</v>
      </c>
      <c r="M162" t="s">
        <v>16</v>
      </c>
    </row>
    <row r="163" spans="1:13" x14ac:dyDescent="0.25">
      <c r="A163" t="s">
        <v>102</v>
      </c>
      <c r="B163" t="s">
        <v>316</v>
      </c>
      <c r="C163" t="s">
        <v>52</v>
      </c>
      <c r="D163">
        <v>49.2</v>
      </c>
      <c r="E163">
        <v>46</v>
      </c>
      <c r="F163">
        <v>55</v>
      </c>
      <c r="G163">
        <v>45</v>
      </c>
      <c r="H163">
        <v>50</v>
      </c>
      <c r="I163">
        <v>50</v>
      </c>
      <c r="J163">
        <v>117</v>
      </c>
      <c r="K163" t="s">
        <v>16</v>
      </c>
      <c r="L163" t="s">
        <v>28</v>
      </c>
      <c r="M163" t="s">
        <v>16</v>
      </c>
    </row>
    <row r="164" spans="1:13" x14ac:dyDescent="0.25">
      <c r="A164" t="s">
        <v>173</v>
      </c>
      <c r="B164" t="s">
        <v>318</v>
      </c>
      <c r="C164" t="s">
        <v>174</v>
      </c>
      <c r="D164">
        <v>49.2</v>
      </c>
      <c r="E164">
        <v>46</v>
      </c>
      <c r="F164">
        <v>50</v>
      </c>
      <c r="G164">
        <v>55</v>
      </c>
      <c r="H164">
        <v>50</v>
      </c>
      <c r="I164">
        <v>45</v>
      </c>
      <c r="J164">
        <v>155</v>
      </c>
      <c r="K164" t="s">
        <v>50</v>
      </c>
      <c r="L164" t="s">
        <v>65</v>
      </c>
      <c r="M164" t="s">
        <v>50</v>
      </c>
    </row>
    <row r="165" spans="1:13" x14ac:dyDescent="0.25">
      <c r="A165" t="s">
        <v>244</v>
      </c>
      <c r="B165" t="s">
        <v>370</v>
      </c>
      <c r="C165" t="s">
        <v>245</v>
      </c>
      <c r="D165">
        <v>49.2</v>
      </c>
      <c r="E165">
        <v>46</v>
      </c>
      <c r="F165">
        <v>50</v>
      </c>
      <c r="G165">
        <v>55</v>
      </c>
      <c r="H165">
        <v>50</v>
      </c>
      <c r="I165">
        <v>45</v>
      </c>
      <c r="J165">
        <v>123</v>
      </c>
      <c r="K165" t="s">
        <v>16</v>
      </c>
      <c r="L165" t="s">
        <v>28</v>
      </c>
      <c r="M165" t="s">
        <v>16</v>
      </c>
    </row>
    <row r="166" spans="1:13" x14ac:dyDescent="0.25">
      <c r="A166" t="s">
        <v>40</v>
      </c>
      <c r="B166" t="s">
        <v>371</v>
      </c>
      <c r="C166" t="s">
        <v>41</v>
      </c>
      <c r="D166">
        <v>48.8</v>
      </c>
      <c r="E166">
        <v>46</v>
      </c>
      <c r="F166">
        <v>50</v>
      </c>
      <c r="G166">
        <v>45</v>
      </c>
      <c r="H166">
        <v>58</v>
      </c>
      <c r="I166">
        <v>45</v>
      </c>
      <c r="J166">
        <v>172</v>
      </c>
      <c r="K166" t="s">
        <v>11</v>
      </c>
      <c r="L166" t="s">
        <v>11</v>
      </c>
      <c r="M166" t="s">
        <v>42</v>
      </c>
    </row>
    <row r="167" spans="1:13" x14ac:dyDescent="0.25">
      <c r="A167" t="s">
        <v>303</v>
      </c>
      <c r="B167" t="s">
        <v>326</v>
      </c>
      <c r="C167" t="s">
        <v>6</v>
      </c>
      <c r="D167">
        <v>48.6</v>
      </c>
      <c r="E167">
        <v>49</v>
      </c>
      <c r="F167">
        <v>50</v>
      </c>
      <c r="G167">
        <v>45</v>
      </c>
      <c r="H167">
        <v>54</v>
      </c>
      <c r="I167">
        <v>45</v>
      </c>
      <c r="J167">
        <v>134</v>
      </c>
      <c r="K167" t="s">
        <v>85</v>
      </c>
      <c r="L167" t="s">
        <v>138</v>
      </c>
      <c r="M167" t="s">
        <v>13</v>
      </c>
    </row>
    <row r="168" spans="1:13" x14ac:dyDescent="0.25">
      <c r="A168" t="s">
        <v>186</v>
      </c>
      <c r="B168" t="s">
        <v>369</v>
      </c>
      <c r="C168" t="s">
        <v>187</v>
      </c>
      <c r="D168">
        <v>48.4</v>
      </c>
      <c r="E168">
        <v>43</v>
      </c>
      <c r="F168">
        <v>55</v>
      </c>
      <c r="G168">
        <v>45</v>
      </c>
      <c r="H168">
        <v>54</v>
      </c>
      <c r="I168">
        <v>45</v>
      </c>
      <c r="J168">
        <v>159</v>
      </c>
      <c r="K168" t="s">
        <v>16</v>
      </c>
      <c r="L168" t="s">
        <v>28</v>
      </c>
      <c r="M168" t="s">
        <v>16</v>
      </c>
    </row>
    <row r="169" spans="1:13" x14ac:dyDescent="0.25">
      <c r="A169" t="s">
        <v>269</v>
      </c>
      <c r="B169" t="s">
        <v>372</v>
      </c>
      <c r="C169" t="s">
        <v>270</v>
      </c>
      <c r="D169">
        <v>48.4</v>
      </c>
      <c r="E169">
        <v>43</v>
      </c>
      <c r="F169">
        <v>55</v>
      </c>
      <c r="G169">
        <v>45</v>
      </c>
      <c r="H169">
        <v>54</v>
      </c>
      <c r="I169">
        <v>45</v>
      </c>
      <c r="J169">
        <v>243</v>
      </c>
      <c r="K169" t="s">
        <v>88</v>
      </c>
      <c r="L169" t="s">
        <v>48</v>
      </c>
      <c r="M169" t="s">
        <v>75</v>
      </c>
    </row>
    <row r="170" spans="1:13" x14ac:dyDescent="0.25">
      <c r="A170" t="s">
        <v>264</v>
      </c>
      <c r="B170" t="s">
        <v>317</v>
      </c>
      <c r="C170" t="s">
        <v>30</v>
      </c>
      <c r="D170">
        <v>48.4</v>
      </c>
      <c r="E170">
        <v>43</v>
      </c>
      <c r="F170">
        <v>55</v>
      </c>
      <c r="G170">
        <v>45</v>
      </c>
      <c r="H170">
        <v>54</v>
      </c>
      <c r="I170">
        <v>45</v>
      </c>
      <c r="J170">
        <v>261</v>
      </c>
      <c r="K170" t="s">
        <v>37</v>
      </c>
      <c r="L170" t="s">
        <v>18</v>
      </c>
      <c r="M170" t="s">
        <v>16</v>
      </c>
    </row>
    <row r="171" spans="1:13" x14ac:dyDescent="0.25">
      <c r="A171" t="s">
        <v>304</v>
      </c>
      <c r="B171" t="s">
        <v>373</v>
      </c>
      <c r="C171" t="s">
        <v>305</v>
      </c>
      <c r="D171">
        <v>48.2</v>
      </c>
      <c r="E171">
        <v>43</v>
      </c>
      <c r="F171">
        <v>55</v>
      </c>
      <c r="G171">
        <v>45</v>
      </c>
      <c r="H171">
        <v>50</v>
      </c>
      <c r="I171">
        <v>48</v>
      </c>
      <c r="J171">
        <v>106</v>
      </c>
      <c r="K171" t="s">
        <v>11</v>
      </c>
      <c r="L171" t="s">
        <v>42</v>
      </c>
      <c r="M171" t="s">
        <v>11</v>
      </c>
    </row>
    <row r="172" spans="1:13" x14ac:dyDescent="0.25">
      <c r="A172" t="s">
        <v>170</v>
      </c>
      <c r="B172" t="s">
        <v>374</v>
      </c>
      <c r="C172" t="s">
        <v>171</v>
      </c>
      <c r="D172">
        <v>48</v>
      </c>
      <c r="E172">
        <v>43</v>
      </c>
      <c r="F172">
        <v>60</v>
      </c>
      <c r="G172">
        <v>45</v>
      </c>
      <c r="H172">
        <v>38</v>
      </c>
      <c r="I172">
        <v>54</v>
      </c>
      <c r="J172">
        <v>90</v>
      </c>
      <c r="K172" t="s">
        <v>16</v>
      </c>
      <c r="L172" t="s">
        <v>28</v>
      </c>
      <c r="M172" t="s">
        <v>16</v>
      </c>
    </row>
    <row r="173" spans="1:13" x14ac:dyDescent="0.25">
      <c r="A173" t="s">
        <v>54</v>
      </c>
      <c r="B173" t="s">
        <v>375</v>
      </c>
      <c r="C173" t="s">
        <v>55</v>
      </c>
      <c r="D173">
        <v>47.8</v>
      </c>
      <c r="E173">
        <v>49</v>
      </c>
      <c r="F173">
        <v>50</v>
      </c>
      <c r="G173">
        <v>45</v>
      </c>
      <c r="H173">
        <v>50</v>
      </c>
      <c r="I173">
        <v>45</v>
      </c>
      <c r="J173">
        <v>189</v>
      </c>
      <c r="K173" t="s">
        <v>39</v>
      </c>
      <c r="L173" t="s">
        <v>56</v>
      </c>
      <c r="M173" t="s">
        <v>57</v>
      </c>
    </row>
    <row r="174" spans="1:13" x14ac:dyDescent="0.25">
      <c r="A174" t="s">
        <v>54</v>
      </c>
      <c r="B174" t="s">
        <v>375</v>
      </c>
      <c r="C174" t="s">
        <v>55</v>
      </c>
      <c r="D174">
        <v>47.8</v>
      </c>
      <c r="E174">
        <v>49</v>
      </c>
      <c r="F174">
        <v>50</v>
      </c>
      <c r="G174">
        <v>45</v>
      </c>
      <c r="H174">
        <v>50</v>
      </c>
      <c r="I174">
        <v>45</v>
      </c>
      <c r="J174">
        <v>189</v>
      </c>
      <c r="K174" t="s">
        <v>39</v>
      </c>
      <c r="L174" t="s">
        <v>56</v>
      </c>
      <c r="M174" t="s">
        <v>57</v>
      </c>
    </row>
    <row r="175" spans="1:13" x14ac:dyDescent="0.25">
      <c r="A175" t="s">
        <v>260</v>
      </c>
      <c r="B175" t="s">
        <v>326</v>
      </c>
      <c r="C175" t="s">
        <v>6</v>
      </c>
      <c r="D175">
        <v>47.8</v>
      </c>
      <c r="E175">
        <v>49</v>
      </c>
      <c r="F175">
        <v>50</v>
      </c>
      <c r="G175">
        <v>45</v>
      </c>
      <c r="H175">
        <v>50</v>
      </c>
      <c r="I175">
        <v>45</v>
      </c>
      <c r="J175">
        <v>129</v>
      </c>
      <c r="K175" t="s">
        <v>134</v>
      </c>
      <c r="L175" t="s">
        <v>62</v>
      </c>
      <c r="M175" t="s">
        <v>13</v>
      </c>
    </row>
    <row r="176" spans="1:13" x14ac:dyDescent="0.25">
      <c r="A176" t="s">
        <v>260</v>
      </c>
      <c r="B176" t="s">
        <v>326</v>
      </c>
      <c r="C176" t="s">
        <v>6</v>
      </c>
      <c r="D176">
        <v>47.8</v>
      </c>
      <c r="E176">
        <v>49</v>
      </c>
      <c r="F176">
        <v>50</v>
      </c>
      <c r="G176">
        <v>45</v>
      </c>
      <c r="H176">
        <v>50</v>
      </c>
      <c r="I176">
        <v>45</v>
      </c>
      <c r="J176">
        <v>129</v>
      </c>
      <c r="K176" t="s">
        <v>134</v>
      </c>
      <c r="L176" t="s">
        <v>62</v>
      </c>
      <c r="M176" t="s">
        <v>13</v>
      </c>
    </row>
    <row r="177" spans="1:13" x14ac:dyDescent="0.25">
      <c r="A177" t="s">
        <v>70</v>
      </c>
      <c r="B177" t="s">
        <v>376</v>
      </c>
      <c r="C177" t="s">
        <v>71</v>
      </c>
      <c r="D177">
        <v>47.4</v>
      </c>
      <c r="E177">
        <v>49</v>
      </c>
      <c r="F177">
        <v>60</v>
      </c>
      <c r="G177">
        <v>50</v>
      </c>
      <c r="H177">
        <v>30</v>
      </c>
      <c r="I177">
        <v>48</v>
      </c>
      <c r="J177">
        <v>62</v>
      </c>
      <c r="K177" t="s">
        <v>16</v>
      </c>
      <c r="L177" t="s">
        <v>28</v>
      </c>
      <c r="M177" t="s">
        <v>16</v>
      </c>
    </row>
    <row r="178" spans="1:13" x14ac:dyDescent="0.25">
      <c r="A178" t="s">
        <v>26</v>
      </c>
      <c r="B178" t="s">
        <v>353</v>
      </c>
      <c r="C178" t="s">
        <v>27</v>
      </c>
      <c r="D178">
        <v>46.8</v>
      </c>
      <c r="E178">
        <v>49</v>
      </c>
      <c r="F178">
        <v>50</v>
      </c>
      <c r="G178">
        <v>55</v>
      </c>
      <c r="H178">
        <v>30</v>
      </c>
      <c r="I178">
        <v>50</v>
      </c>
      <c r="J178">
        <v>95</v>
      </c>
      <c r="K178" t="s">
        <v>16</v>
      </c>
      <c r="L178" t="s">
        <v>28</v>
      </c>
      <c r="M178" t="s">
        <v>16</v>
      </c>
    </row>
    <row r="179" spans="1:13" x14ac:dyDescent="0.25">
      <c r="A179" t="s">
        <v>68</v>
      </c>
      <c r="B179" t="s">
        <v>338</v>
      </c>
      <c r="C179" t="s">
        <v>61</v>
      </c>
      <c r="D179">
        <v>46.8</v>
      </c>
      <c r="E179">
        <v>55</v>
      </c>
      <c r="F179">
        <v>50</v>
      </c>
      <c r="G179">
        <v>50</v>
      </c>
      <c r="H179">
        <v>34</v>
      </c>
      <c r="I179">
        <v>45</v>
      </c>
      <c r="J179">
        <v>86</v>
      </c>
      <c r="K179" t="s">
        <v>11</v>
      </c>
      <c r="L179" t="s">
        <v>69</v>
      </c>
      <c r="M179" t="s">
        <v>17</v>
      </c>
    </row>
    <row r="180" spans="1:13" x14ac:dyDescent="0.25">
      <c r="A180" t="s">
        <v>94</v>
      </c>
      <c r="B180" t="s">
        <v>329</v>
      </c>
      <c r="C180" t="s">
        <v>23</v>
      </c>
      <c r="D180">
        <v>46.6</v>
      </c>
      <c r="E180">
        <v>43</v>
      </c>
      <c r="F180">
        <v>50</v>
      </c>
      <c r="G180">
        <v>45</v>
      </c>
      <c r="H180">
        <v>50</v>
      </c>
      <c r="I180">
        <v>45</v>
      </c>
      <c r="J180">
        <v>159</v>
      </c>
      <c r="K180" t="s">
        <v>42</v>
      </c>
      <c r="L180" t="s">
        <v>44</v>
      </c>
      <c r="M180" t="s">
        <v>50</v>
      </c>
    </row>
    <row r="181" spans="1:13" x14ac:dyDescent="0.25">
      <c r="A181" t="s">
        <v>79</v>
      </c>
      <c r="B181" t="s">
        <v>338</v>
      </c>
      <c r="C181" t="s">
        <v>61</v>
      </c>
      <c r="D181">
        <v>46.4</v>
      </c>
      <c r="E181">
        <v>43</v>
      </c>
      <c r="F181">
        <v>60</v>
      </c>
      <c r="G181">
        <v>50</v>
      </c>
      <c r="H181">
        <v>34</v>
      </c>
      <c r="I181">
        <v>45</v>
      </c>
      <c r="J181">
        <v>76</v>
      </c>
      <c r="K181" t="s">
        <v>80</v>
      </c>
      <c r="L181" t="s">
        <v>43</v>
      </c>
      <c r="M181" t="s">
        <v>81</v>
      </c>
    </row>
    <row r="182" spans="1:13" x14ac:dyDescent="0.25">
      <c r="A182" t="s">
        <v>53</v>
      </c>
      <c r="B182" t="s">
        <v>316</v>
      </c>
      <c r="C182" t="s">
        <v>52</v>
      </c>
      <c r="D182">
        <v>46</v>
      </c>
      <c r="E182">
        <v>40</v>
      </c>
      <c r="F182">
        <v>50</v>
      </c>
      <c r="G182">
        <v>45</v>
      </c>
      <c r="H182">
        <v>50</v>
      </c>
      <c r="I182">
        <v>45</v>
      </c>
      <c r="J182">
        <v>141</v>
      </c>
      <c r="K182" t="s">
        <v>16</v>
      </c>
      <c r="L182" t="s">
        <v>28</v>
      </c>
      <c r="M182" t="s">
        <v>16</v>
      </c>
    </row>
    <row r="183" spans="1:13" x14ac:dyDescent="0.25">
      <c r="A183" t="s">
        <v>155</v>
      </c>
      <c r="B183" t="s">
        <v>377</v>
      </c>
      <c r="C183" t="s">
        <v>378</v>
      </c>
      <c r="D183">
        <v>45.4</v>
      </c>
      <c r="E183">
        <v>52</v>
      </c>
      <c r="F183">
        <v>50</v>
      </c>
      <c r="G183">
        <v>50</v>
      </c>
      <c r="H183">
        <v>30</v>
      </c>
      <c r="I183">
        <v>45</v>
      </c>
      <c r="J183">
        <v>50</v>
      </c>
      <c r="K183" t="s">
        <v>16</v>
      </c>
      <c r="L183" t="s">
        <v>28</v>
      </c>
      <c r="M183" t="s">
        <v>16</v>
      </c>
    </row>
    <row r="184" spans="1:13" x14ac:dyDescent="0.25">
      <c r="A184" t="e">
        <v>#NAME?</v>
      </c>
      <c r="B184" t="s">
        <v>379</v>
      </c>
      <c r="C184" t="s">
        <v>14</v>
      </c>
      <c r="D184">
        <v>44.4</v>
      </c>
      <c r="E184">
        <v>52</v>
      </c>
      <c r="F184">
        <v>50</v>
      </c>
      <c r="G184">
        <v>45</v>
      </c>
      <c r="H184">
        <v>30</v>
      </c>
      <c r="I184">
        <v>45</v>
      </c>
      <c r="J184">
        <v>38</v>
      </c>
      <c r="K184">
        <v>0</v>
      </c>
      <c r="L184">
        <v>0</v>
      </c>
      <c r="M184">
        <v>0</v>
      </c>
    </row>
    <row r="185" spans="1:13" x14ac:dyDescent="0.25">
      <c r="A185" t="s">
        <v>99</v>
      </c>
      <c r="B185" t="s">
        <v>338</v>
      </c>
      <c r="C185" t="s">
        <v>61</v>
      </c>
      <c r="D185">
        <v>43.8</v>
      </c>
      <c r="E185">
        <v>49</v>
      </c>
      <c r="F185">
        <v>50</v>
      </c>
      <c r="G185">
        <v>45</v>
      </c>
      <c r="H185">
        <v>30</v>
      </c>
      <c r="I185">
        <v>45</v>
      </c>
      <c r="J185">
        <v>76</v>
      </c>
      <c r="K185" t="s">
        <v>17</v>
      </c>
      <c r="L185" t="s">
        <v>100</v>
      </c>
      <c r="M185" t="s">
        <v>101</v>
      </c>
    </row>
    <row r="186" spans="1:13" x14ac:dyDescent="0.25">
      <c r="A186" t="s">
        <v>60</v>
      </c>
      <c r="B186" t="s">
        <v>338</v>
      </c>
      <c r="C186" t="s">
        <v>61</v>
      </c>
      <c r="D186">
        <v>43.2</v>
      </c>
      <c r="E186">
        <v>46</v>
      </c>
      <c r="F186">
        <v>50</v>
      </c>
      <c r="G186">
        <v>45</v>
      </c>
      <c r="H186">
        <v>30</v>
      </c>
      <c r="I186">
        <v>45</v>
      </c>
      <c r="J186">
        <v>52</v>
      </c>
      <c r="K186" t="s">
        <v>25</v>
      </c>
      <c r="L186" t="s">
        <v>62</v>
      </c>
      <c r="M186" t="s">
        <v>63</v>
      </c>
    </row>
    <row r="187" spans="1:13" x14ac:dyDescent="0.25">
      <c r="A187" t="s">
        <v>60</v>
      </c>
      <c r="B187" t="s">
        <v>338</v>
      </c>
      <c r="C187" t="s">
        <v>61</v>
      </c>
      <c r="D187">
        <v>43.2</v>
      </c>
      <c r="E187">
        <v>46</v>
      </c>
      <c r="F187">
        <v>50</v>
      </c>
      <c r="G187">
        <v>45</v>
      </c>
      <c r="H187">
        <v>30</v>
      </c>
      <c r="I187">
        <v>45</v>
      </c>
      <c r="J187">
        <v>52</v>
      </c>
      <c r="K187" t="s">
        <v>25</v>
      </c>
      <c r="L187" t="s">
        <v>62</v>
      </c>
      <c r="M187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F444-4375-4B3F-9773-57CC69630F5C}">
  <dimension ref="A1:M187"/>
  <sheetViews>
    <sheetView workbookViewId="0">
      <selection activeCell="G186" sqref="G186"/>
    </sheetView>
  </sheetViews>
  <sheetFormatPr defaultRowHeight="15" x14ac:dyDescent="0.25"/>
  <cols>
    <col min="1" max="1" width="13.140625" customWidth="1"/>
    <col min="2" max="2" width="18.5703125" customWidth="1"/>
    <col min="3" max="3" width="16.7109375" customWidth="1"/>
    <col min="10" max="10" width="20.85546875" customWidth="1"/>
  </cols>
  <sheetData>
    <row r="1" spans="1:13" x14ac:dyDescent="0.25">
      <c r="A1" t="s">
        <v>0</v>
      </c>
      <c r="B1" t="s">
        <v>308</v>
      </c>
      <c r="C1" t="s">
        <v>1</v>
      </c>
      <c r="D1" t="s">
        <v>309</v>
      </c>
      <c r="E1" t="s">
        <v>310</v>
      </c>
      <c r="F1" t="s">
        <v>311</v>
      </c>
      <c r="G1" t="s">
        <v>312</v>
      </c>
      <c r="H1" t="s">
        <v>313</v>
      </c>
      <c r="I1" t="s">
        <v>314</v>
      </c>
      <c r="J1" t="s">
        <v>315</v>
      </c>
      <c r="K1" t="s">
        <v>380</v>
      </c>
      <c r="L1" t="s">
        <v>382</v>
      </c>
      <c r="M1" t="s">
        <v>381</v>
      </c>
    </row>
    <row r="2" spans="1:13" x14ac:dyDescent="0.25">
      <c r="A2" t="s">
        <v>51</v>
      </c>
      <c r="B2" t="s">
        <v>316</v>
      </c>
      <c r="C2" t="s">
        <v>52</v>
      </c>
      <c r="D2">
        <v>79.2</v>
      </c>
      <c r="E2">
        <v>94</v>
      </c>
      <c r="F2">
        <v>80</v>
      </c>
      <c r="G2">
        <v>75</v>
      </c>
      <c r="H2">
        <v>84</v>
      </c>
      <c r="I2">
        <v>63</v>
      </c>
      <c r="J2">
        <v>743</v>
      </c>
      <c r="K2" t="str">
        <f>IFERROR(VLOOKUP(A2,Main!A:E,3,0),0)</f>
        <v>Simplilearn</v>
      </c>
      <c r="L2">
        <f>IFERROR(VLOOKUP(A2,Main!A:E,4,0),0)</f>
        <v>79.2</v>
      </c>
      <c r="M2">
        <f>IFERROR(VLOOKUP(A2,Main!A:E,5,0),0)</f>
        <v>94</v>
      </c>
    </row>
    <row r="3" spans="1:13" x14ac:dyDescent="0.25">
      <c r="A3" t="s">
        <v>261</v>
      </c>
      <c r="B3" t="s">
        <v>317</v>
      </c>
      <c r="C3" t="s">
        <v>30</v>
      </c>
      <c r="D3">
        <v>78.8</v>
      </c>
      <c r="E3">
        <v>88</v>
      </c>
      <c r="F3">
        <v>75</v>
      </c>
      <c r="G3">
        <v>70</v>
      </c>
      <c r="H3">
        <v>84</v>
      </c>
      <c r="I3">
        <v>77</v>
      </c>
      <c r="J3">
        <v>801</v>
      </c>
      <c r="K3" t="str">
        <f>IFERROR(VLOOKUP(A3,Main!A:E,3,0),0)</f>
        <v>Intellipaat</v>
      </c>
      <c r="L3">
        <f>IFERROR(VLOOKUP(A3,Main!A:E,4,0),0)</f>
        <v>78.8</v>
      </c>
      <c r="M3">
        <f>IFERROR(VLOOKUP(A3,Main!A:E,5,0),0)</f>
        <v>88</v>
      </c>
    </row>
    <row r="4" spans="1:13" x14ac:dyDescent="0.25">
      <c r="A4" t="s">
        <v>165</v>
      </c>
      <c r="B4" t="s">
        <v>317</v>
      </c>
      <c r="C4" t="s">
        <v>30</v>
      </c>
      <c r="D4">
        <v>78.2</v>
      </c>
      <c r="E4">
        <v>88</v>
      </c>
      <c r="F4">
        <v>75</v>
      </c>
      <c r="G4">
        <v>70</v>
      </c>
      <c r="H4">
        <v>84</v>
      </c>
      <c r="I4">
        <v>74</v>
      </c>
      <c r="J4">
        <v>791</v>
      </c>
      <c r="K4" t="str">
        <f>IFERROR(VLOOKUP(A4,Main!A:E,3,0),0)</f>
        <v>Intellipaat</v>
      </c>
      <c r="L4">
        <f>IFERROR(VLOOKUP(A4,Main!A:E,4,0),0)</f>
        <v>78.2</v>
      </c>
      <c r="M4">
        <f>IFERROR(VLOOKUP(A4,Main!A:E,5,0),0)</f>
        <v>88</v>
      </c>
    </row>
    <row r="5" spans="1:13" x14ac:dyDescent="0.25">
      <c r="A5" t="s">
        <v>268</v>
      </c>
      <c r="B5" t="s">
        <v>318</v>
      </c>
      <c r="C5" t="s">
        <v>174</v>
      </c>
      <c r="D5">
        <v>78.2</v>
      </c>
      <c r="E5">
        <v>71</v>
      </c>
      <c r="F5">
        <v>90</v>
      </c>
      <c r="G5">
        <v>85</v>
      </c>
      <c r="H5">
        <v>84</v>
      </c>
      <c r="I5">
        <v>61</v>
      </c>
      <c r="J5">
        <v>717</v>
      </c>
      <c r="K5" t="str">
        <f>IFERROR(VLOOKUP(A5,Main!A:E,3,0),0)</f>
        <v>Marina Wyss - AI &amp; Machine Learning</v>
      </c>
      <c r="L5">
        <f>IFERROR(VLOOKUP(A5,Main!A:E,4,0),0)</f>
        <v>78.2</v>
      </c>
      <c r="M5">
        <f>IFERROR(VLOOKUP(A5,Main!A:E,5,0),0)</f>
        <v>71</v>
      </c>
    </row>
    <row r="6" spans="1:13" x14ac:dyDescent="0.25">
      <c r="A6" t="s">
        <v>177</v>
      </c>
      <c r="B6" t="s">
        <v>319</v>
      </c>
      <c r="C6" t="s">
        <v>2</v>
      </c>
      <c r="D6">
        <v>77</v>
      </c>
      <c r="E6">
        <v>92</v>
      </c>
      <c r="F6">
        <v>80</v>
      </c>
      <c r="G6">
        <v>80</v>
      </c>
      <c r="H6">
        <v>68</v>
      </c>
      <c r="I6">
        <v>65</v>
      </c>
      <c r="J6">
        <v>673</v>
      </c>
      <c r="K6" t="str">
        <f>IFERROR(VLOOKUP(A6,Main!A:E,3,0),0)</f>
        <v>edureka!</v>
      </c>
      <c r="L6">
        <f>IFERROR(VLOOKUP(A6,Main!A:E,4,0),0)</f>
        <v>77</v>
      </c>
      <c r="M6">
        <f>IFERROR(VLOOKUP(A6,Main!A:E,5,0),0)</f>
        <v>92</v>
      </c>
    </row>
    <row r="7" spans="1:13" x14ac:dyDescent="0.25">
      <c r="A7" t="s">
        <v>259</v>
      </c>
      <c r="B7" t="s">
        <v>317</v>
      </c>
      <c r="C7" t="s">
        <v>30</v>
      </c>
      <c r="D7">
        <v>75</v>
      </c>
      <c r="E7">
        <v>73</v>
      </c>
      <c r="F7">
        <v>80</v>
      </c>
      <c r="G7">
        <v>70</v>
      </c>
      <c r="H7">
        <v>80</v>
      </c>
      <c r="I7">
        <v>72</v>
      </c>
      <c r="J7">
        <v>739</v>
      </c>
      <c r="K7" t="str">
        <f>IFERROR(VLOOKUP(A7,Main!A:E,3,0),0)</f>
        <v>Intellipaat</v>
      </c>
      <c r="L7">
        <f>IFERROR(VLOOKUP(A7,Main!A:E,4,0),0)</f>
        <v>75</v>
      </c>
      <c r="M7">
        <f>IFERROR(VLOOKUP(A7,Main!A:E,5,0),0)</f>
        <v>73</v>
      </c>
    </row>
    <row r="8" spans="1:13" x14ac:dyDescent="0.25">
      <c r="A8" t="s">
        <v>273</v>
      </c>
      <c r="B8" t="s">
        <v>320</v>
      </c>
      <c r="C8" t="s">
        <v>274</v>
      </c>
      <c r="D8">
        <v>74.400000000000006</v>
      </c>
      <c r="E8">
        <v>85</v>
      </c>
      <c r="F8">
        <v>70</v>
      </c>
      <c r="G8">
        <v>80</v>
      </c>
      <c r="H8">
        <v>72</v>
      </c>
      <c r="I8">
        <v>65</v>
      </c>
      <c r="J8">
        <v>845</v>
      </c>
      <c r="K8" t="str">
        <f>IFERROR(VLOOKUP(A8,Main!A:E,3,0),0)</f>
        <v>Sahil &amp; Sarra</v>
      </c>
      <c r="L8">
        <f>IFERROR(VLOOKUP(A8,Main!A:E,4,0),0)</f>
        <v>74.400000000000006</v>
      </c>
      <c r="M8">
        <f>IFERROR(VLOOKUP(A8,Main!A:E,5,0),0)</f>
        <v>85</v>
      </c>
    </row>
    <row r="9" spans="1:13" x14ac:dyDescent="0.25">
      <c r="A9" t="s">
        <v>273</v>
      </c>
      <c r="B9" t="s">
        <v>320</v>
      </c>
      <c r="C9" t="s">
        <v>274</v>
      </c>
      <c r="D9">
        <v>74.400000000000006</v>
      </c>
      <c r="E9">
        <v>85</v>
      </c>
      <c r="F9">
        <v>70</v>
      </c>
      <c r="G9">
        <v>80</v>
      </c>
      <c r="H9">
        <v>72</v>
      </c>
      <c r="I9">
        <v>65</v>
      </c>
      <c r="J9">
        <v>845</v>
      </c>
      <c r="K9" t="str">
        <f>IFERROR(VLOOKUP(A9,Main!A:E,3,0),0)</f>
        <v>Sahil &amp; Sarra</v>
      </c>
      <c r="L9">
        <f>IFERROR(VLOOKUP(A9,Main!A:E,4,0),0)</f>
        <v>74.400000000000006</v>
      </c>
      <c r="M9">
        <f>IFERROR(VLOOKUP(A9,Main!A:E,5,0),0)</f>
        <v>85</v>
      </c>
    </row>
    <row r="10" spans="1:13" x14ac:dyDescent="0.25">
      <c r="A10" t="s">
        <v>238</v>
      </c>
      <c r="B10" t="s">
        <v>317</v>
      </c>
      <c r="C10" t="s">
        <v>30</v>
      </c>
      <c r="D10">
        <v>74.2</v>
      </c>
      <c r="E10">
        <v>70</v>
      </c>
      <c r="F10">
        <v>85</v>
      </c>
      <c r="G10">
        <v>80</v>
      </c>
      <c r="H10">
        <v>80</v>
      </c>
      <c r="I10">
        <v>56</v>
      </c>
      <c r="J10">
        <v>675</v>
      </c>
      <c r="K10" t="str">
        <f>IFERROR(VLOOKUP(A10,Main!A:E,3,0),0)</f>
        <v>Intellipaat</v>
      </c>
      <c r="L10">
        <f>IFERROR(VLOOKUP(A10,Main!A:E,4,0),0)</f>
        <v>74.2</v>
      </c>
      <c r="M10">
        <f>IFERROR(VLOOKUP(A10,Main!A:E,5,0),0)</f>
        <v>70</v>
      </c>
    </row>
    <row r="11" spans="1:13" x14ac:dyDescent="0.25">
      <c r="A11" t="s">
        <v>238</v>
      </c>
      <c r="B11" t="s">
        <v>317</v>
      </c>
      <c r="C11" t="s">
        <v>30</v>
      </c>
      <c r="D11">
        <v>74.2</v>
      </c>
      <c r="E11">
        <v>70</v>
      </c>
      <c r="F11">
        <v>85</v>
      </c>
      <c r="G11">
        <v>80</v>
      </c>
      <c r="H11">
        <v>80</v>
      </c>
      <c r="I11">
        <v>56</v>
      </c>
      <c r="J11">
        <v>675</v>
      </c>
      <c r="K11" t="str">
        <f>IFERROR(VLOOKUP(A11,Main!A:E,3,0),0)</f>
        <v>Intellipaat</v>
      </c>
      <c r="L11">
        <f>IFERROR(VLOOKUP(A11,Main!A:E,4,0),0)</f>
        <v>74.2</v>
      </c>
      <c r="M11">
        <f>IFERROR(VLOOKUP(A11,Main!A:E,5,0),0)</f>
        <v>70</v>
      </c>
    </row>
    <row r="12" spans="1:13" x14ac:dyDescent="0.25">
      <c r="A12" t="s">
        <v>283</v>
      </c>
      <c r="B12" t="s">
        <v>321</v>
      </c>
      <c r="C12" t="s">
        <v>282</v>
      </c>
      <c r="D12">
        <v>73.400000000000006</v>
      </c>
      <c r="E12">
        <v>52</v>
      </c>
      <c r="F12">
        <v>80</v>
      </c>
      <c r="G12">
        <v>80</v>
      </c>
      <c r="H12">
        <v>88</v>
      </c>
      <c r="I12">
        <v>67</v>
      </c>
      <c r="J12">
        <v>753</v>
      </c>
      <c r="K12" t="str">
        <f>IFERROR(VLOOKUP(A12,Main!A:E,3,0),0)</f>
        <v>Data with Baraa</v>
      </c>
      <c r="L12">
        <f>IFERROR(VLOOKUP(A12,Main!A:E,4,0),0)</f>
        <v>73.400000000000006</v>
      </c>
      <c r="M12">
        <f>IFERROR(VLOOKUP(A12,Main!A:E,5,0),0)</f>
        <v>52</v>
      </c>
    </row>
    <row r="13" spans="1:13" x14ac:dyDescent="0.25">
      <c r="A13" t="s">
        <v>203</v>
      </c>
      <c r="B13" t="s">
        <v>322</v>
      </c>
      <c r="C13" t="s">
        <v>129</v>
      </c>
      <c r="D13">
        <v>73.2</v>
      </c>
      <c r="E13">
        <v>86</v>
      </c>
      <c r="F13">
        <v>75</v>
      </c>
      <c r="G13">
        <v>65</v>
      </c>
      <c r="H13">
        <v>80</v>
      </c>
      <c r="I13">
        <v>60</v>
      </c>
      <c r="J13">
        <v>925</v>
      </c>
      <c r="K13" t="str">
        <f>IFERROR(VLOOKUP(A13,Main!A:E,3,0),0)</f>
        <v>freeCodeCamp.org</v>
      </c>
      <c r="L13">
        <f>IFERROR(VLOOKUP(A13,Main!A:E,4,0),0)</f>
        <v>73.2</v>
      </c>
      <c r="M13">
        <f>IFERROR(VLOOKUP(A13,Main!A:E,5,0),0)</f>
        <v>86</v>
      </c>
    </row>
    <row r="14" spans="1:13" x14ac:dyDescent="0.25">
      <c r="A14" t="s">
        <v>290</v>
      </c>
      <c r="B14" t="s">
        <v>317</v>
      </c>
      <c r="C14" t="s">
        <v>30</v>
      </c>
      <c r="D14">
        <v>72.8</v>
      </c>
      <c r="E14">
        <v>70</v>
      </c>
      <c r="F14">
        <v>80</v>
      </c>
      <c r="G14">
        <v>60</v>
      </c>
      <c r="H14">
        <v>84</v>
      </c>
      <c r="I14">
        <v>70</v>
      </c>
      <c r="J14">
        <v>817</v>
      </c>
      <c r="K14" t="str">
        <f>IFERROR(VLOOKUP(A14,Main!A:E,3,0),0)</f>
        <v>Intellipaat</v>
      </c>
      <c r="L14">
        <f>IFERROR(VLOOKUP(A14,Main!A:E,4,0),0)</f>
        <v>72.8</v>
      </c>
      <c r="M14">
        <f>IFERROR(VLOOKUP(A14,Main!A:E,5,0),0)</f>
        <v>70</v>
      </c>
    </row>
    <row r="15" spans="1:13" x14ac:dyDescent="0.25">
      <c r="A15" t="s">
        <v>139</v>
      </c>
      <c r="B15" t="s">
        <v>317</v>
      </c>
      <c r="C15" t="s">
        <v>30</v>
      </c>
      <c r="D15">
        <v>72.8</v>
      </c>
      <c r="E15">
        <v>70</v>
      </c>
      <c r="F15">
        <v>80</v>
      </c>
      <c r="G15">
        <v>60</v>
      </c>
      <c r="H15">
        <v>84</v>
      </c>
      <c r="I15">
        <v>70</v>
      </c>
      <c r="J15">
        <v>817</v>
      </c>
      <c r="K15" t="str">
        <f>IFERROR(VLOOKUP(A15,Main!A:E,3,0),0)</f>
        <v>Intellipaat</v>
      </c>
      <c r="L15">
        <f>IFERROR(VLOOKUP(A15,Main!A:E,4,0),0)</f>
        <v>72.8</v>
      </c>
      <c r="M15">
        <f>IFERROR(VLOOKUP(A15,Main!A:E,5,0),0)</f>
        <v>70</v>
      </c>
    </row>
    <row r="16" spans="1:13" x14ac:dyDescent="0.25">
      <c r="A16" t="s">
        <v>271</v>
      </c>
      <c r="B16" t="s">
        <v>316</v>
      </c>
      <c r="C16" t="s">
        <v>52</v>
      </c>
      <c r="D16">
        <v>72</v>
      </c>
      <c r="E16">
        <v>58</v>
      </c>
      <c r="F16">
        <v>75</v>
      </c>
      <c r="G16">
        <v>85</v>
      </c>
      <c r="H16">
        <v>72</v>
      </c>
      <c r="I16">
        <v>70</v>
      </c>
      <c r="J16">
        <v>779</v>
      </c>
      <c r="K16" t="str">
        <f>IFERROR(VLOOKUP(A16,Main!A:E,3,0),0)</f>
        <v>Simplilearn</v>
      </c>
      <c r="L16">
        <f>IFERROR(VLOOKUP(A16,Main!A:E,4,0),0)</f>
        <v>72</v>
      </c>
      <c r="M16">
        <f>IFERROR(VLOOKUP(A16,Main!A:E,5,0),0)</f>
        <v>58</v>
      </c>
    </row>
    <row r="17" spans="1:13" x14ac:dyDescent="0.25">
      <c r="A17" t="s">
        <v>207</v>
      </c>
      <c r="B17" t="s">
        <v>323</v>
      </c>
      <c r="C17" t="s">
        <v>114</v>
      </c>
      <c r="D17">
        <v>71.8</v>
      </c>
      <c r="E17">
        <v>77</v>
      </c>
      <c r="F17">
        <v>75</v>
      </c>
      <c r="G17">
        <v>65</v>
      </c>
      <c r="H17">
        <v>68</v>
      </c>
      <c r="I17">
        <v>74</v>
      </c>
      <c r="J17">
        <v>725</v>
      </c>
      <c r="K17" t="str">
        <f>IFERROR(VLOOKUP(A17,Main!A:E,3,0),0)</f>
        <v>365 Data Science</v>
      </c>
      <c r="L17">
        <f>IFERROR(VLOOKUP(A17,Main!A:E,4,0),0)</f>
        <v>71.8</v>
      </c>
      <c r="M17">
        <f>IFERROR(VLOOKUP(A17,Main!A:E,5,0),0)</f>
        <v>77</v>
      </c>
    </row>
    <row r="18" spans="1:13" x14ac:dyDescent="0.25">
      <c r="A18" t="s">
        <v>295</v>
      </c>
      <c r="B18" t="s">
        <v>316</v>
      </c>
      <c r="C18" t="s">
        <v>52</v>
      </c>
      <c r="D18">
        <v>71.400000000000006</v>
      </c>
      <c r="E18">
        <v>67</v>
      </c>
      <c r="F18">
        <v>75</v>
      </c>
      <c r="G18">
        <v>75</v>
      </c>
      <c r="H18">
        <v>76</v>
      </c>
      <c r="I18">
        <v>64</v>
      </c>
      <c r="J18">
        <v>732</v>
      </c>
      <c r="K18" t="str">
        <f>IFERROR(VLOOKUP(A18,Main!A:E,3,0),0)</f>
        <v>Simplilearn</v>
      </c>
      <c r="L18">
        <f>IFERROR(VLOOKUP(A18,Main!A:E,4,0),0)</f>
        <v>71.400000000000006</v>
      </c>
      <c r="M18">
        <f>IFERROR(VLOOKUP(A18,Main!A:E,5,0),0)</f>
        <v>67</v>
      </c>
    </row>
    <row r="19" spans="1:13" x14ac:dyDescent="0.25">
      <c r="A19" t="s">
        <v>109</v>
      </c>
      <c r="B19" t="s">
        <v>316</v>
      </c>
      <c r="C19" t="s">
        <v>52</v>
      </c>
      <c r="D19">
        <v>71.400000000000006</v>
      </c>
      <c r="E19">
        <v>58</v>
      </c>
      <c r="F19">
        <v>75</v>
      </c>
      <c r="G19">
        <v>85</v>
      </c>
      <c r="H19">
        <v>72</v>
      </c>
      <c r="I19">
        <v>67</v>
      </c>
      <c r="J19">
        <v>780</v>
      </c>
      <c r="K19" t="str">
        <f>IFERROR(VLOOKUP(A19,Main!A:E,3,0),0)</f>
        <v>Simplilearn</v>
      </c>
      <c r="L19">
        <f>IFERROR(VLOOKUP(A19,Main!A:E,4,0),0)</f>
        <v>71.400000000000006</v>
      </c>
      <c r="M19">
        <f>IFERROR(VLOOKUP(A19,Main!A:E,5,0),0)</f>
        <v>58</v>
      </c>
    </row>
    <row r="20" spans="1:13" x14ac:dyDescent="0.25">
      <c r="A20" t="s">
        <v>228</v>
      </c>
      <c r="B20" t="s">
        <v>317</v>
      </c>
      <c r="C20" t="s">
        <v>30</v>
      </c>
      <c r="D20">
        <v>71.400000000000006</v>
      </c>
      <c r="E20">
        <v>61</v>
      </c>
      <c r="F20">
        <v>75</v>
      </c>
      <c r="G20">
        <v>80</v>
      </c>
      <c r="H20">
        <v>76</v>
      </c>
      <c r="I20">
        <v>65</v>
      </c>
      <c r="J20">
        <v>769</v>
      </c>
      <c r="K20" t="str">
        <f>IFERROR(VLOOKUP(A20,Main!A:E,3,0),0)</f>
        <v>Intellipaat</v>
      </c>
      <c r="L20">
        <f>IFERROR(VLOOKUP(A20,Main!A:E,4,0),0)</f>
        <v>71.400000000000006</v>
      </c>
      <c r="M20">
        <f>IFERROR(VLOOKUP(A20,Main!A:E,5,0),0)</f>
        <v>61</v>
      </c>
    </row>
    <row r="21" spans="1:13" x14ac:dyDescent="0.25">
      <c r="A21" t="s">
        <v>286</v>
      </c>
      <c r="B21" t="s">
        <v>316</v>
      </c>
      <c r="C21" t="s">
        <v>52</v>
      </c>
      <c r="D21">
        <v>71.2</v>
      </c>
      <c r="E21">
        <v>74</v>
      </c>
      <c r="F21">
        <v>75</v>
      </c>
      <c r="G21">
        <v>70</v>
      </c>
      <c r="H21">
        <v>84</v>
      </c>
      <c r="I21">
        <v>53</v>
      </c>
      <c r="J21">
        <v>740</v>
      </c>
      <c r="K21" t="str">
        <f>IFERROR(VLOOKUP(A21,Main!A:E,3,0),0)</f>
        <v>Simplilearn</v>
      </c>
      <c r="L21">
        <f>IFERROR(VLOOKUP(A21,Main!A:E,4,0),0)</f>
        <v>71.2</v>
      </c>
      <c r="M21">
        <f>IFERROR(VLOOKUP(A21,Main!A:E,5,0),0)</f>
        <v>74</v>
      </c>
    </row>
    <row r="22" spans="1:13" x14ac:dyDescent="0.25">
      <c r="A22" t="s">
        <v>147</v>
      </c>
      <c r="B22" t="s">
        <v>317</v>
      </c>
      <c r="C22" t="s">
        <v>30</v>
      </c>
      <c r="D22">
        <v>71</v>
      </c>
      <c r="E22">
        <v>64</v>
      </c>
      <c r="F22">
        <v>75</v>
      </c>
      <c r="G22">
        <v>60</v>
      </c>
      <c r="H22">
        <v>84</v>
      </c>
      <c r="I22">
        <v>72</v>
      </c>
      <c r="J22">
        <v>785</v>
      </c>
      <c r="K22" t="str">
        <f>IFERROR(VLOOKUP(A22,Main!A:E,3,0),0)</f>
        <v>Intellipaat</v>
      </c>
      <c r="L22">
        <f>IFERROR(VLOOKUP(A22,Main!A:E,4,0),0)</f>
        <v>71</v>
      </c>
      <c r="M22">
        <f>IFERROR(VLOOKUP(A22,Main!A:E,5,0),0)</f>
        <v>64</v>
      </c>
    </row>
    <row r="23" spans="1:13" x14ac:dyDescent="0.25">
      <c r="A23" t="s">
        <v>38</v>
      </c>
      <c r="B23" t="s">
        <v>317</v>
      </c>
      <c r="C23" t="s">
        <v>30</v>
      </c>
      <c r="D23">
        <v>71</v>
      </c>
      <c r="E23">
        <v>64</v>
      </c>
      <c r="F23">
        <v>75</v>
      </c>
      <c r="G23">
        <v>65</v>
      </c>
      <c r="H23">
        <v>84</v>
      </c>
      <c r="I23">
        <v>67</v>
      </c>
      <c r="J23">
        <v>794</v>
      </c>
      <c r="K23" t="str">
        <f>IFERROR(VLOOKUP(A23,Main!A:E,3,0),0)</f>
        <v>Intellipaat</v>
      </c>
      <c r="L23">
        <f>IFERROR(VLOOKUP(A23,Main!A:E,4,0),0)</f>
        <v>71</v>
      </c>
      <c r="M23">
        <f>IFERROR(VLOOKUP(A23,Main!A:E,5,0),0)</f>
        <v>64</v>
      </c>
    </row>
    <row r="24" spans="1:13" x14ac:dyDescent="0.25">
      <c r="A24" t="s">
        <v>188</v>
      </c>
      <c r="B24" t="s">
        <v>324</v>
      </c>
      <c r="C24" t="s">
        <v>133</v>
      </c>
      <c r="D24">
        <v>70.8</v>
      </c>
      <c r="E24">
        <v>95</v>
      </c>
      <c r="F24">
        <v>50</v>
      </c>
      <c r="G24">
        <v>75</v>
      </c>
      <c r="H24">
        <v>84</v>
      </c>
      <c r="I24">
        <v>50</v>
      </c>
      <c r="J24">
        <v>855</v>
      </c>
      <c r="K24" t="str">
        <f>IFERROR(VLOOKUP(A24,Main!A:E,3,0),0)</f>
        <v>Egor Howell</v>
      </c>
      <c r="L24">
        <f>IFERROR(VLOOKUP(A24,Main!A:E,4,0),0)</f>
        <v>70.8</v>
      </c>
      <c r="M24">
        <f>IFERROR(VLOOKUP(A24,Main!A:E,5,0),0)</f>
        <v>95</v>
      </c>
    </row>
    <row r="25" spans="1:13" x14ac:dyDescent="0.25">
      <c r="A25" t="s">
        <v>162</v>
      </c>
      <c r="B25" t="s">
        <v>316</v>
      </c>
      <c r="C25" t="s">
        <v>52</v>
      </c>
      <c r="D25">
        <v>70.8</v>
      </c>
      <c r="E25">
        <v>95</v>
      </c>
      <c r="F25">
        <v>70</v>
      </c>
      <c r="G25">
        <v>75</v>
      </c>
      <c r="H25">
        <v>64</v>
      </c>
      <c r="I25">
        <v>50</v>
      </c>
      <c r="J25">
        <v>681</v>
      </c>
      <c r="K25" t="str">
        <f>IFERROR(VLOOKUP(A25,Main!A:E,3,0),0)</f>
        <v>Simplilearn</v>
      </c>
      <c r="L25">
        <f>IFERROR(VLOOKUP(A25,Main!A:E,4,0),0)</f>
        <v>70.8</v>
      </c>
      <c r="M25">
        <f>IFERROR(VLOOKUP(A25,Main!A:E,5,0),0)</f>
        <v>95</v>
      </c>
    </row>
    <row r="26" spans="1:13" x14ac:dyDescent="0.25">
      <c r="A26" t="s">
        <v>117</v>
      </c>
      <c r="B26" t="s">
        <v>325</v>
      </c>
      <c r="C26" t="s">
        <v>118</v>
      </c>
      <c r="D26">
        <v>70</v>
      </c>
      <c r="E26">
        <v>79</v>
      </c>
      <c r="F26">
        <v>75</v>
      </c>
      <c r="G26">
        <v>70</v>
      </c>
      <c r="H26">
        <v>76</v>
      </c>
      <c r="I26">
        <v>50</v>
      </c>
      <c r="J26">
        <v>976</v>
      </c>
      <c r="K26" t="str">
        <f>IFERROR(VLOOKUP(A26,Main!A:E,3,0),0)</f>
        <v>Visual Studio Code</v>
      </c>
      <c r="L26">
        <f>IFERROR(VLOOKUP(A26,Main!A:E,4,0),0)</f>
        <v>70</v>
      </c>
      <c r="M26">
        <f>IFERROR(VLOOKUP(A26,Main!A:E,5,0),0)</f>
        <v>79</v>
      </c>
    </row>
    <row r="27" spans="1:13" x14ac:dyDescent="0.25">
      <c r="A27" t="e">
        <f>-ETQ97mXXF0</f>
        <v>#NAME?</v>
      </c>
      <c r="B27" t="s">
        <v>319</v>
      </c>
      <c r="C27" t="s">
        <v>2</v>
      </c>
      <c r="D27">
        <v>69.599999999999994</v>
      </c>
      <c r="E27">
        <v>82</v>
      </c>
      <c r="F27">
        <v>70</v>
      </c>
      <c r="G27">
        <v>65</v>
      </c>
      <c r="H27">
        <v>76</v>
      </c>
      <c r="I27">
        <v>55</v>
      </c>
      <c r="J27">
        <v>790</v>
      </c>
      <c r="K27">
        <f>IFERROR(VLOOKUP(A27,Main!A:E,3,0),0)</f>
        <v>0</v>
      </c>
      <c r="L27">
        <f>IFERROR(VLOOKUP(A27,Main!A:E,4,0),0)</f>
        <v>0</v>
      </c>
      <c r="M27">
        <f>IFERROR(VLOOKUP(A27,Main!A:E,5,0),0)</f>
        <v>0</v>
      </c>
    </row>
    <row r="28" spans="1:13" x14ac:dyDescent="0.25">
      <c r="A28" t="s">
        <v>144</v>
      </c>
      <c r="B28" t="s">
        <v>326</v>
      </c>
      <c r="C28" t="s">
        <v>6</v>
      </c>
      <c r="D28">
        <v>69.400000000000006</v>
      </c>
      <c r="E28">
        <v>79</v>
      </c>
      <c r="F28">
        <v>60</v>
      </c>
      <c r="G28">
        <v>70</v>
      </c>
      <c r="H28">
        <v>88</v>
      </c>
      <c r="I28">
        <v>50</v>
      </c>
      <c r="J28">
        <v>893</v>
      </c>
      <c r="K28" t="str">
        <f>IFERROR(VLOOKUP(A28,Main!A:E,3,0),0)</f>
        <v>codebasics</v>
      </c>
      <c r="L28">
        <f>IFERROR(VLOOKUP(A28,Main!A:E,4,0),0)</f>
        <v>69.400000000000006</v>
      </c>
      <c r="M28">
        <f>IFERROR(VLOOKUP(A28,Main!A:E,5,0),0)</f>
        <v>79</v>
      </c>
    </row>
    <row r="29" spans="1:13" x14ac:dyDescent="0.25">
      <c r="A29" t="s">
        <v>120</v>
      </c>
      <c r="B29" t="s">
        <v>327</v>
      </c>
      <c r="C29" t="s">
        <v>67</v>
      </c>
      <c r="D29">
        <v>69.400000000000006</v>
      </c>
      <c r="E29">
        <v>61</v>
      </c>
      <c r="F29">
        <v>70</v>
      </c>
      <c r="G29">
        <v>80</v>
      </c>
      <c r="H29">
        <v>76</v>
      </c>
      <c r="I29">
        <v>60</v>
      </c>
      <c r="J29">
        <v>697</v>
      </c>
      <c r="K29" t="str">
        <f>IFERROR(VLOOKUP(A29,Main!A:E,3,0),0)</f>
        <v>Sajjaad Khader</v>
      </c>
      <c r="L29">
        <f>IFERROR(VLOOKUP(A29,Main!A:E,4,0),0)</f>
        <v>69.400000000000006</v>
      </c>
      <c r="M29">
        <f>IFERROR(VLOOKUP(A29,Main!A:E,5,0),0)</f>
        <v>61</v>
      </c>
    </row>
    <row r="30" spans="1:13" x14ac:dyDescent="0.25">
      <c r="A30" t="s">
        <v>150</v>
      </c>
      <c r="B30" t="s">
        <v>322</v>
      </c>
      <c r="C30" t="s">
        <v>129</v>
      </c>
      <c r="D30">
        <v>69.2</v>
      </c>
      <c r="E30">
        <v>62</v>
      </c>
      <c r="F30">
        <v>80</v>
      </c>
      <c r="G30">
        <v>70</v>
      </c>
      <c r="H30">
        <v>76</v>
      </c>
      <c r="I30">
        <v>58</v>
      </c>
      <c r="J30">
        <v>777</v>
      </c>
      <c r="K30" t="str">
        <f>IFERROR(VLOOKUP(A30,Main!A:E,3,0),0)</f>
        <v>freeCodeCamp.org</v>
      </c>
      <c r="L30">
        <f>IFERROR(VLOOKUP(A30,Main!A:E,4,0),0)</f>
        <v>69.2</v>
      </c>
      <c r="M30">
        <f>IFERROR(VLOOKUP(A30,Main!A:E,5,0),0)</f>
        <v>62</v>
      </c>
    </row>
    <row r="31" spans="1:13" x14ac:dyDescent="0.25">
      <c r="A31" t="s">
        <v>135</v>
      </c>
      <c r="B31" t="s">
        <v>325</v>
      </c>
      <c r="C31" t="s">
        <v>118</v>
      </c>
      <c r="D31">
        <v>69.2</v>
      </c>
      <c r="E31">
        <v>79</v>
      </c>
      <c r="F31">
        <v>80</v>
      </c>
      <c r="G31">
        <v>65</v>
      </c>
      <c r="H31">
        <v>72</v>
      </c>
      <c r="I31">
        <v>50</v>
      </c>
      <c r="J31">
        <v>973</v>
      </c>
      <c r="K31" t="str">
        <f>IFERROR(VLOOKUP(A31,Main!A:E,3,0),0)</f>
        <v>Visual Studio Code</v>
      </c>
      <c r="L31">
        <f>IFERROR(VLOOKUP(A31,Main!A:E,4,0),0)</f>
        <v>69.2</v>
      </c>
      <c r="M31">
        <f>IFERROR(VLOOKUP(A31,Main!A:E,5,0),0)</f>
        <v>79</v>
      </c>
    </row>
    <row r="32" spans="1:13" x14ac:dyDescent="0.25">
      <c r="A32" t="s">
        <v>72</v>
      </c>
      <c r="B32" t="s">
        <v>317</v>
      </c>
      <c r="C32" t="s">
        <v>30</v>
      </c>
      <c r="D32">
        <v>68.599999999999994</v>
      </c>
      <c r="E32">
        <v>67</v>
      </c>
      <c r="F32">
        <v>65</v>
      </c>
      <c r="G32">
        <v>75</v>
      </c>
      <c r="H32">
        <v>72</v>
      </c>
      <c r="I32">
        <v>64</v>
      </c>
      <c r="J32">
        <v>724</v>
      </c>
      <c r="K32" t="str">
        <f>IFERROR(VLOOKUP(A32,Main!A:E,3,0),0)</f>
        <v>Intellipaat</v>
      </c>
      <c r="L32">
        <f>IFERROR(VLOOKUP(A32,Main!A:E,4,0),0)</f>
        <v>68.599999999999994</v>
      </c>
      <c r="M32">
        <f>IFERROR(VLOOKUP(A32,Main!A:E,5,0),0)</f>
        <v>67</v>
      </c>
    </row>
    <row r="33" spans="1:13" x14ac:dyDescent="0.25">
      <c r="A33" t="s">
        <v>95</v>
      </c>
      <c r="B33" t="s">
        <v>328</v>
      </c>
      <c r="C33" t="s">
        <v>96</v>
      </c>
      <c r="D33">
        <v>68.599999999999994</v>
      </c>
      <c r="E33">
        <v>91</v>
      </c>
      <c r="F33">
        <v>60</v>
      </c>
      <c r="G33">
        <v>65</v>
      </c>
      <c r="H33">
        <v>72</v>
      </c>
      <c r="I33">
        <v>55</v>
      </c>
      <c r="J33">
        <v>880</v>
      </c>
      <c r="K33" t="str">
        <f>IFERROR(VLOOKUP(A33,Main!A:E,3,0),0)</f>
        <v>Programming with Mosh</v>
      </c>
      <c r="L33">
        <f>IFERROR(VLOOKUP(A33,Main!A:E,4,0),0)</f>
        <v>68.599999999999994</v>
      </c>
      <c r="M33">
        <f>IFERROR(VLOOKUP(A33,Main!A:E,5,0),0)</f>
        <v>91</v>
      </c>
    </row>
    <row r="34" spans="1:13" x14ac:dyDescent="0.25">
      <c r="A34" t="s">
        <v>302</v>
      </c>
      <c r="B34" t="s">
        <v>319</v>
      </c>
      <c r="C34" t="s">
        <v>2</v>
      </c>
      <c r="D34">
        <v>68.400000000000006</v>
      </c>
      <c r="E34">
        <v>73</v>
      </c>
      <c r="F34">
        <v>65</v>
      </c>
      <c r="G34">
        <v>60</v>
      </c>
      <c r="H34">
        <v>72</v>
      </c>
      <c r="I34">
        <v>72</v>
      </c>
      <c r="J34">
        <v>732</v>
      </c>
      <c r="K34" t="str">
        <f>IFERROR(VLOOKUP(A34,Main!A:E,3,0),0)</f>
        <v>edureka!</v>
      </c>
      <c r="L34">
        <f>IFERROR(VLOOKUP(A34,Main!A:E,4,0),0)</f>
        <v>68.400000000000006</v>
      </c>
      <c r="M34">
        <f>IFERROR(VLOOKUP(A34,Main!A:E,5,0),0)</f>
        <v>73</v>
      </c>
    </row>
    <row r="35" spans="1:13" x14ac:dyDescent="0.25">
      <c r="A35" t="s">
        <v>219</v>
      </c>
      <c r="B35" t="s">
        <v>326</v>
      </c>
      <c r="C35" t="s">
        <v>6</v>
      </c>
      <c r="D35">
        <v>67.8</v>
      </c>
      <c r="E35">
        <v>61</v>
      </c>
      <c r="F35">
        <v>70</v>
      </c>
      <c r="G35">
        <v>70</v>
      </c>
      <c r="H35">
        <v>88</v>
      </c>
      <c r="I35">
        <v>50</v>
      </c>
      <c r="J35">
        <v>879</v>
      </c>
      <c r="K35" t="str">
        <f>IFERROR(VLOOKUP(A35,Main!A:E,3,0),0)</f>
        <v>codebasics</v>
      </c>
      <c r="L35">
        <f>IFERROR(VLOOKUP(A35,Main!A:E,4,0),0)</f>
        <v>67.8</v>
      </c>
      <c r="M35">
        <f>IFERROR(VLOOKUP(A35,Main!A:E,5,0),0)</f>
        <v>61</v>
      </c>
    </row>
    <row r="36" spans="1:13" x14ac:dyDescent="0.25">
      <c r="A36" t="s">
        <v>240</v>
      </c>
      <c r="B36" t="s">
        <v>316</v>
      </c>
      <c r="C36" t="s">
        <v>52</v>
      </c>
      <c r="D36">
        <v>67.2</v>
      </c>
      <c r="E36">
        <v>100</v>
      </c>
      <c r="F36">
        <v>60</v>
      </c>
      <c r="G36">
        <v>60</v>
      </c>
      <c r="H36">
        <v>68</v>
      </c>
      <c r="I36">
        <v>48</v>
      </c>
      <c r="J36">
        <v>658</v>
      </c>
      <c r="K36" t="str">
        <f>IFERROR(VLOOKUP(A36,Main!A:E,3,0),0)</f>
        <v>Simplilearn</v>
      </c>
      <c r="L36">
        <f>IFERROR(VLOOKUP(A36,Main!A:E,4,0),0)</f>
        <v>67.2</v>
      </c>
      <c r="M36">
        <f>IFERROR(VLOOKUP(A36,Main!A:E,5,0),0)</f>
        <v>100</v>
      </c>
    </row>
    <row r="37" spans="1:13" x14ac:dyDescent="0.25">
      <c r="A37" t="s">
        <v>22</v>
      </c>
      <c r="B37" t="s">
        <v>329</v>
      </c>
      <c r="C37" t="s">
        <v>23</v>
      </c>
      <c r="D37">
        <v>66.8</v>
      </c>
      <c r="E37">
        <v>68</v>
      </c>
      <c r="F37">
        <v>75</v>
      </c>
      <c r="G37">
        <v>65</v>
      </c>
      <c r="H37">
        <v>76</v>
      </c>
      <c r="I37">
        <v>50</v>
      </c>
      <c r="J37">
        <v>958</v>
      </c>
      <c r="K37" t="str">
        <f>IFERROR(VLOOKUP(A37,Main!A:E,3,0),0)</f>
        <v>Luke Barousse</v>
      </c>
      <c r="L37">
        <f>IFERROR(VLOOKUP(A37,Main!A:E,4,0),0)</f>
        <v>66.8</v>
      </c>
      <c r="M37">
        <f>IFERROR(VLOOKUP(A37,Main!A:E,5,0),0)</f>
        <v>68</v>
      </c>
    </row>
    <row r="38" spans="1:13" x14ac:dyDescent="0.25">
      <c r="A38" t="s">
        <v>197</v>
      </c>
      <c r="B38" t="s">
        <v>330</v>
      </c>
      <c r="C38" t="s">
        <v>176</v>
      </c>
      <c r="D38">
        <v>66.8</v>
      </c>
      <c r="E38">
        <v>67</v>
      </c>
      <c r="F38">
        <v>65</v>
      </c>
      <c r="G38">
        <v>75</v>
      </c>
      <c r="H38">
        <v>72</v>
      </c>
      <c r="I38">
        <v>55</v>
      </c>
      <c r="J38">
        <v>878</v>
      </c>
      <c r="K38" t="str">
        <f>IFERROR(VLOOKUP(A38,Main!A:E,3,0),0)</f>
        <v>IBM Technology</v>
      </c>
      <c r="L38">
        <f>IFERROR(VLOOKUP(A38,Main!A:E,4,0),0)</f>
        <v>66.8</v>
      </c>
      <c r="M38">
        <f>IFERROR(VLOOKUP(A38,Main!A:E,5,0),0)</f>
        <v>67</v>
      </c>
    </row>
    <row r="39" spans="1:13" x14ac:dyDescent="0.25">
      <c r="A39" t="s">
        <v>253</v>
      </c>
      <c r="B39" t="s">
        <v>316</v>
      </c>
      <c r="C39" t="s">
        <v>52</v>
      </c>
      <c r="D39">
        <v>66.599999999999994</v>
      </c>
      <c r="E39">
        <v>70</v>
      </c>
      <c r="F39">
        <v>75</v>
      </c>
      <c r="G39">
        <v>70</v>
      </c>
      <c r="H39">
        <v>68</v>
      </c>
      <c r="I39">
        <v>50</v>
      </c>
      <c r="J39">
        <v>957</v>
      </c>
      <c r="K39" t="str">
        <f>IFERROR(VLOOKUP(A39,Main!A:E,3,0),0)</f>
        <v>Simplilearn</v>
      </c>
      <c r="L39">
        <f>IFERROR(VLOOKUP(A39,Main!A:E,4,0),0)</f>
        <v>66.599999999999994</v>
      </c>
      <c r="M39">
        <f>IFERROR(VLOOKUP(A39,Main!A:E,5,0),0)</f>
        <v>70</v>
      </c>
    </row>
    <row r="40" spans="1:13" x14ac:dyDescent="0.25">
      <c r="A40" t="s">
        <v>284</v>
      </c>
      <c r="B40" t="s">
        <v>331</v>
      </c>
      <c r="C40" t="s">
        <v>285</v>
      </c>
      <c r="D40">
        <v>66.400000000000006</v>
      </c>
      <c r="E40">
        <v>67</v>
      </c>
      <c r="F40">
        <v>60</v>
      </c>
      <c r="G40">
        <v>75</v>
      </c>
      <c r="H40">
        <v>80</v>
      </c>
      <c r="I40">
        <v>50</v>
      </c>
      <c r="J40">
        <v>890</v>
      </c>
      <c r="K40" t="str">
        <f>IFERROR(VLOOKUP(A40,Main!A:E,3,0),0)</f>
        <v>Thu Vu</v>
      </c>
      <c r="L40">
        <f>IFERROR(VLOOKUP(A40,Main!A:E,4,0),0)</f>
        <v>66.400000000000006</v>
      </c>
      <c r="M40">
        <f>IFERROR(VLOOKUP(A40,Main!A:E,5,0),0)</f>
        <v>67</v>
      </c>
    </row>
    <row r="41" spans="1:13" x14ac:dyDescent="0.25">
      <c r="A41" t="s">
        <v>241</v>
      </c>
      <c r="B41" t="s">
        <v>332</v>
      </c>
      <c r="C41" t="s">
        <v>242</v>
      </c>
      <c r="D41">
        <v>66.400000000000006</v>
      </c>
      <c r="E41">
        <v>55</v>
      </c>
      <c r="F41">
        <v>80</v>
      </c>
      <c r="G41">
        <v>65</v>
      </c>
      <c r="H41">
        <v>76</v>
      </c>
      <c r="I41">
        <v>56</v>
      </c>
      <c r="J41">
        <v>761</v>
      </c>
      <c r="K41" t="str">
        <f>IFERROR(VLOOKUP(A41,Main!A:E,3,0),0)</f>
        <v>Emma Ding</v>
      </c>
      <c r="L41">
        <f>IFERROR(VLOOKUP(A41,Main!A:E,4,0),0)</f>
        <v>66.400000000000006</v>
      </c>
      <c r="M41">
        <f>IFERROR(VLOOKUP(A41,Main!A:E,5,0),0)</f>
        <v>55</v>
      </c>
    </row>
    <row r="42" spans="1:13" x14ac:dyDescent="0.25">
      <c r="A42" t="s">
        <v>293</v>
      </c>
      <c r="B42" t="s">
        <v>333</v>
      </c>
      <c r="C42" t="s">
        <v>294</v>
      </c>
      <c r="D42">
        <v>65.8</v>
      </c>
      <c r="E42">
        <v>59</v>
      </c>
      <c r="F42">
        <v>80</v>
      </c>
      <c r="G42">
        <v>65</v>
      </c>
      <c r="H42">
        <v>72</v>
      </c>
      <c r="I42">
        <v>53</v>
      </c>
      <c r="J42">
        <v>744</v>
      </c>
      <c r="K42" t="str">
        <f>IFERROR(VLOOKUP(A42,Main!A:E,3,0),0)</f>
        <v>Lore So What</v>
      </c>
      <c r="L42">
        <f>IFERROR(VLOOKUP(A42,Main!A:E,4,0),0)</f>
        <v>65.8</v>
      </c>
      <c r="M42">
        <f>IFERROR(VLOOKUP(A42,Main!A:E,5,0),0)</f>
        <v>59</v>
      </c>
    </row>
    <row r="43" spans="1:13" x14ac:dyDescent="0.25">
      <c r="A43" t="s">
        <v>293</v>
      </c>
      <c r="B43" t="s">
        <v>333</v>
      </c>
      <c r="C43" t="s">
        <v>294</v>
      </c>
      <c r="D43">
        <v>65.8</v>
      </c>
      <c r="E43">
        <v>59</v>
      </c>
      <c r="F43">
        <v>80</v>
      </c>
      <c r="G43">
        <v>65</v>
      </c>
      <c r="H43">
        <v>72</v>
      </c>
      <c r="I43">
        <v>53</v>
      </c>
      <c r="J43">
        <v>744</v>
      </c>
      <c r="K43" t="str">
        <f>IFERROR(VLOOKUP(A43,Main!A:E,3,0),0)</f>
        <v>Lore So What</v>
      </c>
      <c r="L43">
        <f>IFERROR(VLOOKUP(A43,Main!A:E,4,0),0)</f>
        <v>65.8</v>
      </c>
      <c r="M43">
        <f>IFERROR(VLOOKUP(A43,Main!A:E,5,0),0)</f>
        <v>59</v>
      </c>
    </row>
    <row r="44" spans="1:13" x14ac:dyDescent="0.25">
      <c r="A44" t="s">
        <v>217</v>
      </c>
      <c r="B44" t="s">
        <v>319</v>
      </c>
      <c r="C44" t="s">
        <v>2</v>
      </c>
      <c r="D44">
        <v>65.8</v>
      </c>
      <c r="E44">
        <v>83</v>
      </c>
      <c r="F44">
        <v>70</v>
      </c>
      <c r="G44">
        <v>50</v>
      </c>
      <c r="H44">
        <v>76</v>
      </c>
      <c r="I44">
        <v>50</v>
      </c>
      <c r="J44">
        <v>777</v>
      </c>
      <c r="K44" t="str">
        <f>IFERROR(VLOOKUP(A44,Main!A:E,3,0),0)</f>
        <v>edureka!</v>
      </c>
      <c r="L44">
        <f>IFERROR(VLOOKUP(A44,Main!A:E,4,0),0)</f>
        <v>65.8</v>
      </c>
      <c r="M44">
        <f>IFERROR(VLOOKUP(A44,Main!A:E,5,0),0)</f>
        <v>83</v>
      </c>
    </row>
    <row r="45" spans="1:13" x14ac:dyDescent="0.25">
      <c r="A45" t="s">
        <v>211</v>
      </c>
      <c r="B45" t="s">
        <v>328</v>
      </c>
      <c r="C45" t="s">
        <v>96</v>
      </c>
      <c r="D45">
        <v>65.8</v>
      </c>
      <c r="E45">
        <v>86</v>
      </c>
      <c r="F45">
        <v>65</v>
      </c>
      <c r="G45">
        <v>60</v>
      </c>
      <c r="H45">
        <v>68</v>
      </c>
      <c r="I45">
        <v>50</v>
      </c>
      <c r="J45">
        <v>889</v>
      </c>
      <c r="K45" t="str">
        <f>IFERROR(VLOOKUP(A45,Main!A:E,3,0),0)</f>
        <v>Programming with Mosh</v>
      </c>
      <c r="L45">
        <f>IFERROR(VLOOKUP(A45,Main!A:E,4,0),0)</f>
        <v>65.8</v>
      </c>
      <c r="M45">
        <f>IFERROR(VLOOKUP(A45,Main!A:E,5,0),0)</f>
        <v>86</v>
      </c>
    </row>
    <row r="46" spans="1:13" x14ac:dyDescent="0.25">
      <c r="A46" t="s">
        <v>225</v>
      </c>
      <c r="B46" t="s">
        <v>334</v>
      </c>
      <c r="C46" t="s">
        <v>226</v>
      </c>
      <c r="D46">
        <v>65.599999999999994</v>
      </c>
      <c r="E46">
        <v>52</v>
      </c>
      <c r="F46">
        <v>85</v>
      </c>
      <c r="G46">
        <v>65</v>
      </c>
      <c r="H46">
        <v>72</v>
      </c>
      <c r="I46">
        <v>54</v>
      </c>
      <c r="J46">
        <v>744</v>
      </c>
      <c r="K46" t="str">
        <f>IFERROR(VLOOKUP(A46,Main!A:E,3,0),0)</f>
        <v>SCALER</v>
      </c>
      <c r="L46">
        <f>IFERROR(VLOOKUP(A46,Main!A:E,4,0),0)</f>
        <v>65.599999999999994</v>
      </c>
      <c r="M46">
        <f>IFERROR(VLOOKUP(A46,Main!A:E,5,0),0)</f>
        <v>52</v>
      </c>
    </row>
    <row r="47" spans="1:13" x14ac:dyDescent="0.25">
      <c r="A47" t="s">
        <v>225</v>
      </c>
      <c r="B47" t="s">
        <v>334</v>
      </c>
      <c r="C47" t="s">
        <v>226</v>
      </c>
      <c r="D47">
        <v>65.599999999999994</v>
      </c>
      <c r="E47">
        <v>52</v>
      </c>
      <c r="F47">
        <v>85</v>
      </c>
      <c r="G47">
        <v>65</v>
      </c>
      <c r="H47">
        <v>72</v>
      </c>
      <c r="I47">
        <v>54</v>
      </c>
      <c r="J47">
        <v>744</v>
      </c>
      <c r="K47" t="str">
        <f>IFERROR(VLOOKUP(A47,Main!A:E,3,0),0)</f>
        <v>SCALER</v>
      </c>
      <c r="L47">
        <f>IFERROR(VLOOKUP(A47,Main!A:E,4,0),0)</f>
        <v>65.599999999999994</v>
      </c>
      <c r="M47">
        <f>IFERROR(VLOOKUP(A47,Main!A:E,5,0),0)</f>
        <v>52</v>
      </c>
    </row>
    <row r="48" spans="1:13" x14ac:dyDescent="0.25">
      <c r="A48" t="s">
        <v>201</v>
      </c>
      <c r="B48" t="s">
        <v>316</v>
      </c>
      <c r="C48" t="s">
        <v>52</v>
      </c>
      <c r="D48">
        <v>65.2</v>
      </c>
      <c r="E48">
        <v>82</v>
      </c>
      <c r="F48">
        <v>70</v>
      </c>
      <c r="G48">
        <v>55</v>
      </c>
      <c r="H48">
        <v>64</v>
      </c>
      <c r="I48">
        <v>55</v>
      </c>
      <c r="J48">
        <v>715</v>
      </c>
      <c r="K48" t="str">
        <f>IFERROR(VLOOKUP(A48,Main!A:E,3,0),0)</f>
        <v>Simplilearn</v>
      </c>
      <c r="L48">
        <f>IFERROR(VLOOKUP(A48,Main!A:E,4,0),0)</f>
        <v>65.2</v>
      </c>
      <c r="M48">
        <f>IFERROR(VLOOKUP(A48,Main!A:E,5,0),0)</f>
        <v>82</v>
      </c>
    </row>
    <row r="49" spans="1:13" x14ac:dyDescent="0.25">
      <c r="A49" t="s">
        <v>128</v>
      </c>
      <c r="B49" t="s">
        <v>322</v>
      </c>
      <c r="C49" t="s">
        <v>129</v>
      </c>
      <c r="D49">
        <v>65.2</v>
      </c>
      <c r="E49">
        <v>67</v>
      </c>
      <c r="F49">
        <v>55</v>
      </c>
      <c r="G49">
        <v>75</v>
      </c>
      <c r="H49">
        <v>84</v>
      </c>
      <c r="I49">
        <v>45</v>
      </c>
      <c r="J49">
        <v>769</v>
      </c>
      <c r="K49" t="str">
        <f>IFERROR(VLOOKUP(A49,Main!A:E,3,0),0)</f>
        <v>freeCodeCamp.org</v>
      </c>
      <c r="L49">
        <f>IFERROR(VLOOKUP(A49,Main!A:E,4,0),0)</f>
        <v>65.2</v>
      </c>
      <c r="M49">
        <f>IFERROR(VLOOKUP(A49,Main!A:E,5,0),0)</f>
        <v>67</v>
      </c>
    </row>
    <row r="50" spans="1:13" x14ac:dyDescent="0.25">
      <c r="A50" t="s">
        <v>193</v>
      </c>
      <c r="B50" t="s">
        <v>319</v>
      </c>
      <c r="C50" t="s">
        <v>2</v>
      </c>
      <c r="D50">
        <v>65</v>
      </c>
      <c r="E50">
        <v>65</v>
      </c>
      <c r="F50">
        <v>70</v>
      </c>
      <c r="G50">
        <v>65</v>
      </c>
      <c r="H50">
        <v>80</v>
      </c>
      <c r="I50">
        <v>45</v>
      </c>
      <c r="J50">
        <v>968</v>
      </c>
      <c r="K50" t="str">
        <f>IFERROR(VLOOKUP(A50,Main!A:E,3,0),0)</f>
        <v>edureka!</v>
      </c>
      <c r="L50">
        <f>IFERROR(VLOOKUP(A50,Main!A:E,4,0),0)</f>
        <v>65</v>
      </c>
      <c r="M50">
        <f>IFERROR(VLOOKUP(A50,Main!A:E,5,0),0)</f>
        <v>65</v>
      </c>
    </row>
    <row r="51" spans="1:13" x14ac:dyDescent="0.25">
      <c r="A51" t="s">
        <v>230</v>
      </c>
      <c r="B51" t="s">
        <v>330</v>
      </c>
      <c r="C51" t="s">
        <v>176</v>
      </c>
      <c r="D51">
        <v>64.8</v>
      </c>
      <c r="E51">
        <v>73</v>
      </c>
      <c r="F51">
        <v>65</v>
      </c>
      <c r="G51">
        <v>50</v>
      </c>
      <c r="H51">
        <v>76</v>
      </c>
      <c r="I51">
        <v>60</v>
      </c>
      <c r="J51">
        <v>732</v>
      </c>
      <c r="K51" t="str">
        <f>IFERROR(VLOOKUP(A51,Main!A:E,3,0),0)</f>
        <v>IBM Technology</v>
      </c>
      <c r="L51">
        <f>IFERROR(VLOOKUP(A51,Main!A:E,4,0),0)</f>
        <v>64.8</v>
      </c>
      <c r="M51">
        <f>IFERROR(VLOOKUP(A51,Main!A:E,5,0),0)</f>
        <v>73</v>
      </c>
    </row>
    <row r="52" spans="1:13" x14ac:dyDescent="0.25">
      <c r="A52" t="s">
        <v>257</v>
      </c>
      <c r="B52" t="s">
        <v>324</v>
      </c>
      <c r="C52" t="s">
        <v>133</v>
      </c>
      <c r="D52">
        <v>64.8</v>
      </c>
      <c r="E52">
        <v>76</v>
      </c>
      <c r="F52">
        <v>70</v>
      </c>
      <c r="G52">
        <v>55</v>
      </c>
      <c r="H52">
        <v>72</v>
      </c>
      <c r="I52">
        <v>51</v>
      </c>
      <c r="J52">
        <v>756</v>
      </c>
      <c r="K52" t="str">
        <f>IFERROR(VLOOKUP(A52,Main!A:E,3,0),0)</f>
        <v>Egor Howell</v>
      </c>
      <c r="L52">
        <f>IFERROR(VLOOKUP(A52,Main!A:E,4,0),0)</f>
        <v>64.8</v>
      </c>
      <c r="M52">
        <f>IFERROR(VLOOKUP(A52,Main!A:E,5,0),0)</f>
        <v>76</v>
      </c>
    </row>
    <row r="53" spans="1:13" x14ac:dyDescent="0.25">
      <c r="A53" t="s">
        <v>231</v>
      </c>
      <c r="B53" t="s">
        <v>335</v>
      </c>
      <c r="C53" t="s">
        <v>232</v>
      </c>
      <c r="D53">
        <v>64.599999999999994</v>
      </c>
      <c r="E53">
        <v>62</v>
      </c>
      <c r="F53">
        <v>65</v>
      </c>
      <c r="G53">
        <v>65</v>
      </c>
      <c r="H53">
        <v>72</v>
      </c>
      <c r="I53">
        <v>59</v>
      </c>
      <c r="J53">
        <v>864</v>
      </c>
      <c r="K53" t="str">
        <f>IFERROR(VLOOKUP(A53,Main!A:E,3,0),0)</f>
        <v>The Incubator Hub</v>
      </c>
      <c r="L53">
        <f>IFERROR(VLOOKUP(A53,Main!A:E,4,0),0)</f>
        <v>64.599999999999994</v>
      </c>
      <c r="M53">
        <f>IFERROR(VLOOKUP(A53,Main!A:E,5,0),0)</f>
        <v>62</v>
      </c>
    </row>
    <row r="54" spans="1:13" x14ac:dyDescent="0.25">
      <c r="A54" t="s">
        <v>239</v>
      </c>
      <c r="B54" t="s">
        <v>336</v>
      </c>
      <c r="C54" t="s">
        <v>210</v>
      </c>
      <c r="D54">
        <v>64.599999999999994</v>
      </c>
      <c r="E54">
        <v>71</v>
      </c>
      <c r="F54">
        <v>75</v>
      </c>
      <c r="G54">
        <v>60</v>
      </c>
      <c r="H54">
        <v>72</v>
      </c>
      <c r="I54">
        <v>45</v>
      </c>
      <c r="J54">
        <v>920</v>
      </c>
      <c r="K54" t="str">
        <f>IFERROR(VLOOKUP(A54,Main!A:E,3,0),0)</f>
        <v>TEDx Talks</v>
      </c>
      <c r="L54">
        <f>IFERROR(VLOOKUP(A54,Main!A:E,4,0),0)</f>
        <v>64.599999999999994</v>
      </c>
      <c r="M54">
        <f>IFERROR(VLOOKUP(A54,Main!A:E,5,0),0)</f>
        <v>71</v>
      </c>
    </row>
    <row r="55" spans="1:13" x14ac:dyDescent="0.25">
      <c r="A55" t="s">
        <v>272</v>
      </c>
      <c r="B55" t="s">
        <v>322</v>
      </c>
      <c r="C55" t="s">
        <v>129</v>
      </c>
      <c r="D55">
        <v>64.2</v>
      </c>
      <c r="E55">
        <v>74</v>
      </c>
      <c r="F55">
        <v>55</v>
      </c>
      <c r="G55">
        <v>70</v>
      </c>
      <c r="H55">
        <v>72</v>
      </c>
      <c r="I55">
        <v>50</v>
      </c>
      <c r="J55">
        <v>921</v>
      </c>
      <c r="K55" t="str">
        <f>IFERROR(VLOOKUP(A55,Main!A:E,3,0),0)</f>
        <v>freeCodeCamp.org</v>
      </c>
      <c r="L55">
        <f>IFERROR(VLOOKUP(A55,Main!A:E,4,0),0)</f>
        <v>64.2</v>
      </c>
      <c r="M55">
        <f>IFERROR(VLOOKUP(A55,Main!A:E,5,0),0)</f>
        <v>74</v>
      </c>
    </row>
    <row r="56" spans="1:13" x14ac:dyDescent="0.25">
      <c r="A56" t="s">
        <v>287</v>
      </c>
      <c r="B56" t="s">
        <v>322</v>
      </c>
      <c r="C56" t="s">
        <v>129</v>
      </c>
      <c r="D56">
        <v>64.2</v>
      </c>
      <c r="E56">
        <v>59</v>
      </c>
      <c r="F56">
        <v>80</v>
      </c>
      <c r="G56">
        <v>45</v>
      </c>
      <c r="H56">
        <v>76</v>
      </c>
      <c r="I56">
        <v>61</v>
      </c>
      <c r="J56">
        <v>825</v>
      </c>
      <c r="K56" t="str">
        <f>IFERROR(VLOOKUP(A56,Main!A:E,3,0),0)</f>
        <v>freeCodeCamp.org</v>
      </c>
      <c r="L56">
        <f>IFERROR(VLOOKUP(A56,Main!A:E,4,0),0)</f>
        <v>64.2</v>
      </c>
      <c r="M56">
        <f>IFERROR(VLOOKUP(A56,Main!A:E,5,0),0)</f>
        <v>59</v>
      </c>
    </row>
    <row r="57" spans="1:13" x14ac:dyDescent="0.25">
      <c r="A57" t="s">
        <v>113</v>
      </c>
      <c r="B57" t="s">
        <v>323</v>
      </c>
      <c r="C57" t="s">
        <v>114</v>
      </c>
      <c r="D57">
        <v>64</v>
      </c>
      <c r="E57">
        <v>76</v>
      </c>
      <c r="F57">
        <v>70</v>
      </c>
      <c r="G57">
        <v>50</v>
      </c>
      <c r="H57">
        <v>60</v>
      </c>
      <c r="I57">
        <v>64</v>
      </c>
      <c r="J57">
        <v>711</v>
      </c>
      <c r="K57" t="str">
        <f>IFERROR(VLOOKUP(A57,Main!A:E,3,0),0)</f>
        <v>365 Data Science</v>
      </c>
      <c r="L57">
        <f>IFERROR(VLOOKUP(A57,Main!A:E,4,0),0)</f>
        <v>64</v>
      </c>
      <c r="M57">
        <f>IFERROR(VLOOKUP(A57,Main!A:E,5,0),0)</f>
        <v>76</v>
      </c>
    </row>
    <row r="58" spans="1:13" x14ac:dyDescent="0.25">
      <c r="A58" t="s">
        <v>182</v>
      </c>
      <c r="B58" t="s">
        <v>337</v>
      </c>
      <c r="C58" t="s">
        <v>10</v>
      </c>
      <c r="D58">
        <v>63.8</v>
      </c>
      <c r="E58">
        <v>58</v>
      </c>
      <c r="F58">
        <v>70</v>
      </c>
      <c r="G58">
        <v>60</v>
      </c>
      <c r="H58">
        <v>76</v>
      </c>
      <c r="I58">
        <v>55</v>
      </c>
      <c r="J58">
        <v>699</v>
      </c>
      <c r="K58" t="str">
        <f>IFERROR(VLOOKUP(A58,Main!A:E,3,0),0)</f>
        <v>Anwar Haq</v>
      </c>
      <c r="L58">
        <f>IFERROR(VLOOKUP(A58,Main!A:E,4,0),0)</f>
        <v>63.8</v>
      </c>
      <c r="M58">
        <f>IFERROR(VLOOKUP(A58,Main!A:E,5,0),0)</f>
        <v>58</v>
      </c>
    </row>
    <row r="59" spans="1:13" x14ac:dyDescent="0.25">
      <c r="A59" t="s">
        <v>181</v>
      </c>
      <c r="B59" t="s">
        <v>338</v>
      </c>
      <c r="C59" t="s">
        <v>61</v>
      </c>
      <c r="D59">
        <v>63.8</v>
      </c>
      <c r="E59">
        <v>58</v>
      </c>
      <c r="F59">
        <v>65</v>
      </c>
      <c r="G59">
        <v>70</v>
      </c>
      <c r="H59">
        <v>76</v>
      </c>
      <c r="I59">
        <v>50</v>
      </c>
      <c r="J59">
        <v>812</v>
      </c>
      <c r="K59" t="str">
        <f>IFERROR(VLOOKUP(A59,Main!A:E,3,0),0)</f>
        <v>Sundas Khalid</v>
      </c>
      <c r="L59">
        <f>IFERROR(VLOOKUP(A59,Main!A:E,4,0),0)</f>
        <v>63.8</v>
      </c>
      <c r="M59">
        <f>IFERROR(VLOOKUP(A59,Main!A:E,5,0),0)</f>
        <v>58</v>
      </c>
    </row>
    <row r="60" spans="1:13" x14ac:dyDescent="0.25">
      <c r="A60" t="s">
        <v>146</v>
      </c>
      <c r="B60" t="s">
        <v>322</v>
      </c>
      <c r="C60" t="s">
        <v>129</v>
      </c>
      <c r="D60">
        <v>63.6</v>
      </c>
      <c r="E60">
        <v>67</v>
      </c>
      <c r="F60">
        <v>65</v>
      </c>
      <c r="G60">
        <v>65</v>
      </c>
      <c r="H60">
        <v>76</v>
      </c>
      <c r="I60">
        <v>45</v>
      </c>
      <c r="J60">
        <v>877</v>
      </c>
      <c r="K60" t="str">
        <f>IFERROR(VLOOKUP(A60,Main!A:E,3,0),0)</f>
        <v>freeCodeCamp.org</v>
      </c>
      <c r="L60">
        <f>IFERROR(VLOOKUP(A60,Main!A:E,4,0),0)</f>
        <v>63.6</v>
      </c>
      <c r="M60">
        <f>IFERROR(VLOOKUP(A60,Main!A:E,5,0),0)</f>
        <v>67</v>
      </c>
    </row>
    <row r="61" spans="1:13" x14ac:dyDescent="0.25">
      <c r="A61" t="s">
        <v>146</v>
      </c>
      <c r="B61" t="s">
        <v>322</v>
      </c>
      <c r="C61" t="s">
        <v>129</v>
      </c>
      <c r="D61">
        <v>63.6</v>
      </c>
      <c r="E61">
        <v>67</v>
      </c>
      <c r="F61">
        <v>65</v>
      </c>
      <c r="G61">
        <v>65</v>
      </c>
      <c r="H61">
        <v>76</v>
      </c>
      <c r="I61">
        <v>45</v>
      </c>
      <c r="J61">
        <v>877</v>
      </c>
      <c r="K61" t="str">
        <f>IFERROR(VLOOKUP(A61,Main!A:E,3,0),0)</f>
        <v>freeCodeCamp.org</v>
      </c>
      <c r="L61">
        <f>IFERROR(VLOOKUP(A61,Main!A:E,4,0),0)</f>
        <v>63.6</v>
      </c>
      <c r="M61">
        <f>IFERROR(VLOOKUP(A61,Main!A:E,5,0),0)</f>
        <v>67</v>
      </c>
    </row>
    <row r="62" spans="1:13" x14ac:dyDescent="0.25">
      <c r="A62" t="s">
        <v>221</v>
      </c>
      <c r="B62" t="s">
        <v>317</v>
      </c>
      <c r="C62" t="s">
        <v>30</v>
      </c>
      <c r="D62">
        <v>63.6</v>
      </c>
      <c r="E62">
        <v>77</v>
      </c>
      <c r="F62">
        <v>65</v>
      </c>
      <c r="G62">
        <v>70</v>
      </c>
      <c r="H62">
        <v>58</v>
      </c>
      <c r="I62">
        <v>48</v>
      </c>
      <c r="J62">
        <v>210</v>
      </c>
      <c r="K62" t="str">
        <f>IFERROR(VLOOKUP(A62,Main!A:E,3,0),0)</f>
        <v>Intellipaat</v>
      </c>
      <c r="L62">
        <f>IFERROR(VLOOKUP(A62,Main!A:E,4,0),0)</f>
        <v>63.6</v>
      </c>
      <c r="M62">
        <f>IFERROR(VLOOKUP(A62,Main!A:E,5,0),0)</f>
        <v>77</v>
      </c>
    </row>
    <row r="63" spans="1:13" x14ac:dyDescent="0.25">
      <c r="A63" t="s">
        <v>280</v>
      </c>
      <c r="B63" t="s">
        <v>339</v>
      </c>
      <c r="C63" t="s">
        <v>140</v>
      </c>
      <c r="D63">
        <v>63.4</v>
      </c>
      <c r="E63">
        <v>65</v>
      </c>
      <c r="F63">
        <v>55</v>
      </c>
      <c r="G63">
        <v>65</v>
      </c>
      <c r="H63">
        <v>72</v>
      </c>
      <c r="I63">
        <v>60</v>
      </c>
      <c r="J63">
        <v>912</v>
      </c>
      <c r="K63" t="str">
        <f>IFERROR(VLOOKUP(A63,Main!A:E,3,0),0)</f>
        <v>Great Learning</v>
      </c>
      <c r="L63">
        <f>IFERROR(VLOOKUP(A63,Main!A:E,4,0),0)</f>
        <v>63.4</v>
      </c>
      <c r="M63">
        <f>IFERROR(VLOOKUP(A63,Main!A:E,5,0),0)</f>
        <v>65</v>
      </c>
    </row>
    <row r="64" spans="1:13" x14ac:dyDescent="0.25">
      <c r="A64" t="s">
        <v>255</v>
      </c>
      <c r="B64" t="s">
        <v>340</v>
      </c>
      <c r="C64" t="s">
        <v>256</v>
      </c>
      <c r="D64">
        <v>63.4</v>
      </c>
      <c r="E64">
        <v>80</v>
      </c>
      <c r="F64">
        <v>50</v>
      </c>
      <c r="G64">
        <v>60</v>
      </c>
      <c r="H64">
        <v>72</v>
      </c>
      <c r="I64">
        <v>55</v>
      </c>
      <c r="J64">
        <v>945</v>
      </c>
      <c r="K64" t="str">
        <f>IFERROR(VLOOKUP(A64,Main!A:E,3,0),0)</f>
        <v>Tim Joo</v>
      </c>
      <c r="L64">
        <f>IFERROR(VLOOKUP(A64,Main!A:E,4,0),0)</f>
        <v>63.4</v>
      </c>
      <c r="M64">
        <f>IFERROR(VLOOKUP(A64,Main!A:E,5,0),0)</f>
        <v>80</v>
      </c>
    </row>
    <row r="65" spans="1:13" x14ac:dyDescent="0.25">
      <c r="A65" t="s">
        <v>262</v>
      </c>
      <c r="B65" t="s">
        <v>336</v>
      </c>
      <c r="C65" t="s">
        <v>210</v>
      </c>
      <c r="D65">
        <v>63</v>
      </c>
      <c r="E65">
        <v>56</v>
      </c>
      <c r="F65">
        <v>75</v>
      </c>
      <c r="G65">
        <v>70</v>
      </c>
      <c r="H65">
        <v>64</v>
      </c>
      <c r="I65">
        <v>50</v>
      </c>
      <c r="J65">
        <v>890</v>
      </c>
      <c r="K65" t="str">
        <f>IFERROR(VLOOKUP(A65,Main!A:E,3,0),0)</f>
        <v>TEDx Talks</v>
      </c>
      <c r="L65">
        <f>IFERROR(VLOOKUP(A65,Main!A:E,4,0),0)</f>
        <v>63</v>
      </c>
      <c r="M65">
        <f>IFERROR(VLOOKUP(A65,Main!A:E,5,0),0)</f>
        <v>56</v>
      </c>
    </row>
    <row r="66" spans="1:13" x14ac:dyDescent="0.25">
      <c r="A66" t="s">
        <v>223</v>
      </c>
      <c r="B66" t="s">
        <v>341</v>
      </c>
      <c r="C66" t="s">
        <v>224</v>
      </c>
      <c r="D66">
        <v>62.8</v>
      </c>
      <c r="E66">
        <v>64</v>
      </c>
      <c r="F66">
        <v>75</v>
      </c>
      <c r="G66">
        <v>55</v>
      </c>
      <c r="H66">
        <v>72</v>
      </c>
      <c r="I66">
        <v>48</v>
      </c>
      <c r="J66">
        <v>748</v>
      </c>
      <c r="K66" t="str">
        <f>IFERROR(VLOOKUP(A66,Main!A:E,3,0),0)</f>
        <v>Kedeisha Bryan - Your Data Career Coach</v>
      </c>
      <c r="L66">
        <f>IFERROR(VLOOKUP(A66,Main!A:E,4,0),0)</f>
        <v>62.8</v>
      </c>
      <c r="M66">
        <f>IFERROR(VLOOKUP(A66,Main!A:E,5,0),0)</f>
        <v>64</v>
      </c>
    </row>
    <row r="67" spans="1:13" x14ac:dyDescent="0.25">
      <c r="A67" t="s">
        <v>291</v>
      </c>
      <c r="B67" t="s">
        <v>342</v>
      </c>
      <c r="C67" t="s">
        <v>292</v>
      </c>
      <c r="D67">
        <v>62.6</v>
      </c>
      <c r="E67">
        <v>67</v>
      </c>
      <c r="F67">
        <v>60</v>
      </c>
      <c r="G67">
        <v>55</v>
      </c>
      <c r="H67">
        <v>72</v>
      </c>
      <c r="I67">
        <v>59</v>
      </c>
      <c r="J67">
        <v>740</v>
      </c>
      <c r="K67" t="str">
        <f>IFERROR(VLOOKUP(A67,Main!A:E,3,0),0)</f>
        <v>Ishan Sharma</v>
      </c>
      <c r="L67">
        <f>IFERROR(VLOOKUP(A67,Main!A:E,4,0),0)</f>
        <v>62.6</v>
      </c>
      <c r="M67">
        <f>IFERROR(VLOOKUP(A67,Main!A:E,5,0),0)</f>
        <v>67</v>
      </c>
    </row>
    <row r="68" spans="1:13" x14ac:dyDescent="0.25">
      <c r="A68" t="s">
        <v>132</v>
      </c>
      <c r="B68" t="s">
        <v>324</v>
      </c>
      <c r="C68" t="s">
        <v>133</v>
      </c>
      <c r="D68">
        <v>62.6</v>
      </c>
      <c r="E68">
        <v>67</v>
      </c>
      <c r="F68">
        <v>55</v>
      </c>
      <c r="G68">
        <v>70</v>
      </c>
      <c r="H68">
        <v>76</v>
      </c>
      <c r="I68">
        <v>45</v>
      </c>
      <c r="J68">
        <v>887</v>
      </c>
      <c r="K68" t="str">
        <f>IFERROR(VLOOKUP(A68,Main!A:E,3,0),0)</f>
        <v>Egor Howell</v>
      </c>
      <c r="L68">
        <f>IFERROR(VLOOKUP(A68,Main!A:E,4,0),0)</f>
        <v>62.6</v>
      </c>
      <c r="M68">
        <f>IFERROR(VLOOKUP(A68,Main!A:E,5,0),0)</f>
        <v>67</v>
      </c>
    </row>
    <row r="69" spans="1:13" x14ac:dyDescent="0.25">
      <c r="A69" t="s">
        <v>249</v>
      </c>
      <c r="B69" t="s">
        <v>317</v>
      </c>
      <c r="C69" t="s">
        <v>30</v>
      </c>
      <c r="D69">
        <v>62.6</v>
      </c>
      <c r="E69">
        <v>49</v>
      </c>
      <c r="F69">
        <v>70</v>
      </c>
      <c r="G69">
        <v>55</v>
      </c>
      <c r="H69">
        <v>80</v>
      </c>
      <c r="I69">
        <v>59</v>
      </c>
      <c r="J69">
        <v>801</v>
      </c>
      <c r="K69" t="str">
        <f>IFERROR(VLOOKUP(A69,Main!A:E,3,0),0)</f>
        <v>Intellipaat</v>
      </c>
      <c r="L69">
        <f>IFERROR(VLOOKUP(A69,Main!A:E,4,0),0)</f>
        <v>62.6</v>
      </c>
      <c r="M69">
        <f>IFERROR(VLOOKUP(A69,Main!A:E,5,0),0)</f>
        <v>49</v>
      </c>
    </row>
    <row r="70" spans="1:13" x14ac:dyDescent="0.25">
      <c r="A70" t="s">
        <v>279</v>
      </c>
      <c r="B70" t="s">
        <v>343</v>
      </c>
      <c r="C70" t="s">
        <v>89</v>
      </c>
      <c r="D70">
        <v>62.6</v>
      </c>
      <c r="E70">
        <v>59</v>
      </c>
      <c r="F70">
        <v>70</v>
      </c>
      <c r="G70">
        <v>65</v>
      </c>
      <c r="H70">
        <v>64</v>
      </c>
      <c r="I70">
        <v>55</v>
      </c>
      <c r="J70">
        <v>770</v>
      </c>
      <c r="K70" t="str">
        <f>IFERROR(VLOOKUP(A70,Main!A:E,3,0),0)</f>
        <v>CodeWithHarry</v>
      </c>
      <c r="L70">
        <f>IFERROR(VLOOKUP(A70,Main!A:E,4,0),0)</f>
        <v>62.6</v>
      </c>
      <c r="M70">
        <f>IFERROR(VLOOKUP(A70,Main!A:E,5,0),0)</f>
        <v>59</v>
      </c>
    </row>
    <row r="71" spans="1:13" x14ac:dyDescent="0.25">
      <c r="A71" t="s">
        <v>300</v>
      </c>
      <c r="B71" t="s">
        <v>344</v>
      </c>
      <c r="C71" t="s">
        <v>301</v>
      </c>
      <c r="D71">
        <v>62.4</v>
      </c>
      <c r="E71">
        <v>71</v>
      </c>
      <c r="F71">
        <v>60</v>
      </c>
      <c r="G71">
        <v>50</v>
      </c>
      <c r="H71">
        <v>68</v>
      </c>
      <c r="I71">
        <v>63</v>
      </c>
      <c r="J71">
        <v>588</v>
      </c>
      <c r="K71" t="str">
        <f>IFERROR(VLOOKUP(A71,Main!A:E,3,0),0)</f>
        <v>Joma Tech</v>
      </c>
      <c r="L71">
        <f>IFERROR(VLOOKUP(A71,Main!A:E,4,0),0)</f>
        <v>62.4</v>
      </c>
      <c r="M71">
        <f>IFERROR(VLOOKUP(A71,Main!A:E,5,0),0)</f>
        <v>71</v>
      </c>
    </row>
    <row r="72" spans="1:13" x14ac:dyDescent="0.25">
      <c r="A72" t="s">
        <v>141</v>
      </c>
      <c r="B72" t="s">
        <v>345</v>
      </c>
      <c r="C72" t="s">
        <v>142</v>
      </c>
      <c r="D72">
        <v>62</v>
      </c>
      <c r="E72">
        <v>71</v>
      </c>
      <c r="F72">
        <v>55</v>
      </c>
      <c r="G72">
        <v>55</v>
      </c>
      <c r="H72">
        <v>74</v>
      </c>
      <c r="I72">
        <v>55</v>
      </c>
      <c r="J72">
        <v>236</v>
      </c>
      <c r="K72" t="str">
        <f>IFERROR(VLOOKUP(A72,Main!A:E,3,0),0)</f>
        <v>Apna College</v>
      </c>
      <c r="L72">
        <f>IFERROR(VLOOKUP(A72,Main!A:E,4,0),0)</f>
        <v>62</v>
      </c>
      <c r="M72">
        <f>IFERROR(VLOOKUP(A72,Main!A:E,5,0),0)</f>
        <v>71</v>
      </c>
    </row>
    <row r="73" spans="1:13" x14ac:dyDescent="0.25">
      <c r="A73" t="e">
        <f>-gVtb3qsuJA</f>
        <v>#NAME?</v>
      </c>
      <c r="B73" t="s">
        <v>337</v>
      </c>
      <c r="C73" t="s">
        <v>10</v>
      </c>
      <c r="D73">
        <v>62</v>
      </c>
      <c r="E73">
        <v>67</v>
      </c>
      <c r="F73">
        <v>65</v>
      </c>
      <c r="G73">
        <v>50</v>
      </c>
      <c r="H73">
        <v>72</v>
      </c>
      <c r="I73">
        <v>56</v>
      </c>
      <c r="J73">
        <v>876</v>
      </c>
      <c r="K73">
        <f>IFERROR(VLOOKUP(A73,Main!A:E,3,0),0)</f>
        <v>0</v>
      </c>
      <c r="L73">
        <f>IFERROR(VLOOKUP(A73,Main!A:E,4,0),0)</f>
        <v>0</v>
      </c>
      <c r="M73">
        <f>IFERROR(VLOOKUP(A73,Main!A:E,5,0),0)</f>
        <v>0</v>
      </c>
    </row>
    <row r="74" spans="1:13" x14ac:dyDescent="0.25">
      <c r="A74" t="s">
        <v>215</v>
      </c>
      <c r="B74" t="s">
        <v>324</v>
      </c>
      <c r="C74" t="s">
        <v>133</v>
      </c>
      <c r="D74">
        <v>62</v>
      </c>
      <c r="E74">
        <v>61</v>
      </c>
      <c r="F74">
        <v>60</v>
      </c>
      <c r="G74">
        <v>60</v>
      </c>
      <c r="H74">
        <v>68</v>
      </c>
      <c r="I74">
        <v>61</v>
      </c>
      <c r="J74">
        <v>780</v>
      </c>
      <c r="K74" t="str">
        <f>IFERROR(VLOOKUP(A74,Main!A:E,3,0),0)</f>
        <v>Egor Howell</v>
      </c>
      <c r="L74">
        <f>IFERROR(VLOOKUP(A74,Main!A:E,4,0),0)</f>
        <v>62</v>
      </c>
      <c r="M74">
        <f>IFERROR(VLOOKUP(A74,Main!A:E,5,0),0)</f>
        <v>61</v>
      </c>
    </row>
    <row r="75" spans="1:13" x14ac:dyDescent="0.25">
      <c r="A75" t="s">
        <v>111</v>
      </c>
      <c r="B75" t="s">
        <v>338</v>
      </c>
      <c r="C75" t="s">
        <v>61</v>
      </c>
      <c r="D75">
        <v>61.4</v>
      </c>
      <c r="E75">
        <v>61</v>
      </c>
      <c r="F75">
        <v>70</v>
      </c>
      <c r="G75">
        <v>50</v>
      </c>
      <c r="H75">
        <v>76</v>
      </c>
      <c r="I75">
        <v>50</v>
      </c>
      <c r="J75">
        <v>813</v>
      </c>
      <c r="K75" t="str">
        <f>IFERROR(VLOOKUP(A75,Main!A:E,3,0),0)</f>
        <v>Sundas Khalid</v>
      </c>
      <c r="L75">
        <f>IFERROR(VLOOKUP(A75,Main!A:E,4,0),0)</f>
        <v>61.4</v>
      </c>
      <c r="M75">
        <f>IFERROR(VLOOKUP(A75,Main!A:E,5,0),0)</f>
        <v>61</v>
      </c>
    </row>
    <row r="76" spans="1:13" x14ac:dyDescent="0.25">
      <c r="A76" t="s">
        <v>130</v>
      </c>
      <c r="B76" t="s">
        <v>346</v>
      </c>
      <c r="C76" t="s">
        <v>131</v>
      </c>
      <c r="D76">
        <v>61.4</v>
      </c>
      <c r="E76">
        <v>61</v>
      </c>
      <c r="F76">
        <v>40</v>
      </c>
      <c r="G76">
        <v>75</v>
      </c>
      <c r="H76">
        <v>76</v>
      </c>
      <c r="I76">
        <v>55</v>
      </c>
      <c r="J76">
        <v>932</v>
      </c>
      <c r="K76" t="str">
        <f>IFERROR(VLOOKUP(A76,Main!A:E,3,0),0)</f>
        <v>Steve Brunton</v>
      </c>
      <c r="L76">
        <f>IFERROR(VLOOKUP(A76,Main!A:E,4,0),0)</f>
        <v>61.4</v>
      </c>
      <c r="M76">
        <f>IFERROR(VLOOKUP(A76,Main!A:E,5,0),0)</f>
        <v>61</v>
      </c>
    </row>
    <row r="77" spans="1:13" x14ac:dyDescent="0.25">
      <c r="A77" t="s">
        <v>91</v>
      </c>
      <c r="B77" t="s">
        <v>338</v>
      </c>
      <c r="C77" t="s">
        <v>61</v>
      </c>
      <c r="D77">
        <v>61.4</v>
      </c>
      <c r="E77">
        <v>55</v>
      </c>
      <c r="F77">
        <v>65</v>
      </c>
      <c r="G77">
        <v>65</v>
      </c>
      <c r="H77">
        <v>72</v>
      </c>
      <c r="I77">
        <v>50</v>
      </c>
      <c r="J77">
        <v>904</v>
      </c>
      <c r="K77" t="str">
        <f>IFERROR(VLOOKUP(A77,Main!A:E,3,0),0)</f>
        <v>Sundas Khalid</v>
      </c>
      <c r="L77">
        <f>IFERROR(VLOOKUP(A77,Main!A:E,4,0),0)</f>
        <v>61.4</v>
      </c>
      <c r="M77">
        <f>IFERROR(VLOOKUP(A77,Main!A:E,5,0),0)</f>
        <v>55</v>
      </c>
    </row>
    <row r="78" spans="1:13" x14ac:dyDescent="0.25">
      <c r="A78" t="s">
        <v>148</v>
      </c>
      <c r="B78" t="s">
        <v>316</v>
      </c>
      <c r="C78" t="s">
        <v>52</v>
      </c>
      <c r="D78">
        <v>61.4</v>
      </c>
      <c r="E78">
        <v>59</v>
      </c>
      <c r="F78">
        <v>75</v>
      </c>
      <c r="G78">
        <v>60</v>
      </c>
      <c r="H78">
        <v>68</v>
      </c>
      <c r="I78">
        <v>45</v>
      </c>
      <c r="J78">
        <v>924</v>
      </c>
      <c r="K78" t="str">
        <f>IFERROR(VLOOKUP(A78,Main!A:E,3,0),0)</f>
        <v>Simplilearn</v>
      </c>
      <c r="L78">
        <f>IFERROR(VLOOKUP(A78,Main!A:E,4,0),0)</f>
        <v>61.4</v>
      </c>
      <c r="M78">
        <f>IFERROR(VLOOKUP(A78,Main!A:E,5,0),0)</f>
        <v>59</v>
      </c>
    </row>
    <row r="79" spans="1:13" x14ac:dyDescent="0.25">
      <c r="A79" t="s">
        <v>175</v>
      </c>
      <c r="B79" t="s">
        <v>330</v>
      </c>
      <c r="C79" t="s">
        <v>176</v>
      </c>
      <c r="D79">
        <v>61.2</v>
      </c>
      <c r="E79">
        <v>62</v>
      </c>
      <c r="F79">
        <v>65</v>
      </c>
      <c r="G79">
        <v>45</v>
      </c>
      <c r="H79">
        <v>84</v>
      </c>
      <c r="I79">
        <v>50</v>
      </c>
      <c r="J79">
        <v>908</v>
      </c>
      <c r="K79" t="str">
        <f>IFERROR(VLOOKUP(A79,Main!A:E,3,0),0)</f>
        <v>IBM Technology</v>
      </c>
      <c r="L79">
        <f>IFERROR(VLOOKUP(A79,Main!A:E,4,0),0)</f>
        <v>61.2</v>
      </c>
      <c r="M79">
        <f>IFERROR(VLOOKUP(A79,Main!A:E,5,0),0)</f>
        <v>62</v>
      </c>
    </row>
    <row r="80" spans="1:13" x14ac:dyDescent="0.25">
      <c r="A80" t="s">
        <v>208</v>
      </c>
      <c r="B80" t="s">
        <v>326</v>
      </c>
      <c r="C80" t="s">
        <v>6</v>
      </c>
      <c r="D80">
        <v>61.2</v>
      </c>
      <c r="E80">
        <v>55</v>
      </c>
      <c r="F80">
        <v>65</v>
      </c>
      <c r="G80">
        <v>55</v>
      </c>
      <c r="H80">
        <v>76</v>
      </c>
      <c r="I80">
        <v>55</v>
      </c>
      <c r="J80">
        <v>918</v>
      </c>
      <c r="K80" t="str">
        <f>IFERROR(VLOOKUP(A80,Main!A:E,3,0),0)</f>
        <v>codebasics</v>
      </c>
      <c r="L80">
        <f>IFERROR(VLOOKUP(A80,Main!A:E,4,0),0)</f>
        <v>61.2</v>
      </c>
      <c r="M80">
        <f>IFERROR(VLOOKUP(A80,Main!A:E,5,0),0)</f>
        <v>55</v>
      </c>
    </row>
    <row r="81" spans="1:13" x14ac:dyDescent="0.25">
      <c r="A81" t="s">
        <v>46</v>
      </c>
      <c r="B81" t="s">
        <v>347</v>
      </c>
      <c r="C81" t="s">
        <v>47</v>
      </c>
      <c r="D81">
        <v>60.8</v>
      </c>
      <c r="E81">
        <v>58</v>
      </c>
      <c r="F81">
        <v>60</v>
      </c>
      <c r="G81">
        <v>60</v>
      </c>
      <c r="H81">
        <v>76</v>
      </c>
      <c r="I81">
        <v>50</v>
      </c>
      <c r="J81">
        <v>816</v>
      </c>
      <c r="K81" t="str">
        <f>IFERROR(VLOOKUP(A81,Main!A:E,3,0),0)</f>
        <v>Google Career Certificates</v>
      </c>
      <c r="L81">
        <f>IFERROR(VLOOKUP(A81,Main!A:E,4,0),0)</f>
        <v>60.8</v>
      </c>
      <c r="M81">
        <f>IFERROR(VLOOKUP(A81,Main!A:E,5,0),0)</f>
        <v>58</v>
      </c>
    </row>
    <row r="82" spans="1:13" x14ac:dyDescent="0.25">
      <c r="A82" t="s">
        <v>288</v>
      </c>
      <c r="B82" t="s">
        <v>318</v>
      </c>
      <c r="C82" t="s">
        <v>174</v>
      </c>
      <c r="D82">
        <v>60.8</v>
      </c>
      <c r="E82">
        <v>52</v>
      </c>
      <c r="F82">
        <v>60</v>
      </c>
      <c r="G82">
        <v>70</v>
      </c>
      <c r="H82">
        <v>72</v>
      </c>
      <c r="I82">
        <v>50</v>
      </c>
      <c r="J82">
        <v>905</v>
      </c>
      <c r="K82" t="str">
        <f>IFERROR(VLOOKUP(A82,Main!A:E,3,0),0)</f>
        <v>Marina Wyss - AI &amp; Machine Learning</v>
      </c>
      <c r="L82">
        <f>IFERROR(VLOOKUP(A82,Main!A:E,4,0),0)</f>
        <v>60.8</v>
      </c>
      <c r="M82">
        <f>IFERROR(VLOOKUP(A82,Main!A:E,5,0),0)</f>
        <v>52</v>
      </c>
    </row>
    <row r="83" spans="1:13" x14ac:dyDescent="0.25">
      <c r="A83" t="s">
        <v>159</v>
      </c>
      <c r="B83" t="s">
        <v>322</v>
      </c>
      <c r="C83" t="s">
        <v>129</v>
      </c>
      <c r="D83">
        <v>60.8</v>
      </c>
      <c r="E83">
        <v>62</v>
      </c>
      <c r="F83">
        <v>55</v>
      </c>
      <c r="G83">
        <v>65</v>
      </c>
      <c r="H83">
        <v>72</v>
      </c>
      <c r="I83">
        <v>50</v>
      </c>
      <c r="J83">
        <v>939</v>
      </c>
      <c r="K83" t="str">
        <f>IFERROR(VLOOKUP(A83,Main!A:E,3,0),0)</f>
        <v>freeCodeCamp.org</v>
      </c>
      <c r="L83">
        <f>IFERROR(VLOOKUP(A83,Main!A:E,4,0),0)</f>
        <v>60.8</v>
      </c>
      <c r="M83">
        <f>IFERROR(VLOOKUP(A83,Main!A:E,5,0),0)</f>
        <v>62</v>
      </c>
    </row>
    <row r="84" spans="1:13" x14ac:dyDescent="0.25">
      <c r="A84" t="s">
        <v>153</v>
      </c>
      <c r="B84" t="s">
        <v>348</v>
      </c>
      <c r="C84" t="s">
        <v>154</v>
      </c>
      <c r="D84">
        <v>60.8</v>
      </c>
      <c r="E84">
        <v>52</v>
      </c>
      <c r="F84">
        <v>65</v>
      </c>
      <c r="G84">
        <v>65</v>
      </c>
      <c r="H84">
        <v>72</v>
      </c>
      <c r="I84">
        <v>50</v>
      </c>
      <c r="J84">
        <v>843</v>
      </c>
      <c r="K84" t="str">
        <f>IFERROR(VLOOKUP(A84,Main!A:E,3,0),0)</f>
        <v>Krish Naik</v>
      </c>
      <c r="L84">
        <f>IFERROR(VLOOKUP(A84,Main!A:E,4,0),0)</f>
        <v>60.8</v>
      </c>
      <c r="M84">
        <f>IFERROR(VLOOKUP(A84,Main!A:E,5,0),0)</f>
        <v>52</v>
      </c>
    </row>
    <row r="85" spans="1:13" x14ac:dyDescent="0.25">
      <c r="A85" t="s">
        <v>195</v>
      </c>
      <c r="B85" t="s">
        <v>318</v>
      </c>
      <c r="C85" t="s">
        <v>174</v>
      </c>
      <c r="D85">
        <v>60.4</v>
      </c>
      <c r="E85">
        <v>61</v>
      </c>
      <c r="F85">
        <v>70</v>
      </c>
      <c r="G85">
        <v>55</v>
      </c>
      <c r="H85">
        <v>60</v>
      </c>
      <c r="I85">
        <v>56</v>
      </c>
      <c r="J85">
        <v>754</v>
      </c>
      <c r="K85" t="str">
        <f>IFERROR(VLOOKUP(A85,Main!A:E,3,0),0)</f>
        <v>Marina Wyss - AI &amp; Machine Learning</v>
      </c>
      <c r="L85">
        <f>IFERROR(VLOOKUP(A85,Main!A:E,4,0),0)</f>
        <v>60.4</v>
      </c>
      <c r="M85">
        <f>IFERROR(VLOOKUP(A85,Main!A:E,5,0),0)</f>
        <v>61</v>
      </c>
    </row>
    <row r="86" spans="1:13" x14ac:dyDescent="0.25">
      <c r="A86" t="s">
        <v>20</v>
      </c>
      <c r="B86" t="s">
        <v>349</v>
      </c>
      <c r="C86" t="s">
        <v>21</v>
      </c>
      <c r="D86">
        <v>60</v>
      </c>
      <c r="E86">
        <v>49</v>
      </c>
      <c r="F86">
        <v>65</v>
      </c>
      <c r="G86">
        <v>75</v>
      </c>
      <c r="H86">
        <v>66</v>
      </c>
      <c r="I86">
        <v>45</v>
      </c>
      <c r="J86">
        <v>465</v>
      </c>
      <c r="K86" t="str">
        <f>IFERROR(VLOOKUP(A86,Main!A:E,3,0),0)</f>
        <v>Natassha Selvaraj</v>
      </c>
      <c r="L86">
        <f>IFERROR(VLOOKUP(A86,Main!A:E,4,0),0)</f>
        <v>60</v>
      </c>
      <c r="M86">
        <f>IFERROR(VLOOKUP(A86,Main!A:E,5,0),0)</f>
        <v>49</v>
      </c>
    </row>
    <row r="87" spans="1:13" x14ac:dyDescent="0.25">
      <c r="A87" t="s">
        <v>236</v>
      </c>
      <c r="B87" t="s">
        <v>324</v>
      </c>
      <c r="C87" t="s">
        <v>133</v>
      </c>
      <c r="D87">
        <v>59.8</v>
      </c>
      <c r="E87">
        <v>52</v>
      </c>
      <c r="F87">
        <v>70</v>
      </c>
      <c r="G87">
        <v>50</v>
      </c>
      <c r="H87">
        <v>72</v>
      </c>
      <c r="I87">
        <v>55</v>
      </c>
      <c r="J87">
        <v>916</v>
      </c>
      <c r="K87" t="str">
        <f>IFERROR(VLOOKUP(A87,Main!A:E,3,0),0)</f>
        <v>Egor Howell</v>
      </c>
      <c r="L87">
        <f>IFERROR(VLOOKUP(A87,Main!A:E,4,0),0)</f>
        <v>59.8</v>
      </c>
      <c r="M87">
        <f>IFERROR(VLOOKUP(A87,Main!A:E,5,0),0)</f>
        <v>52</v>
      </c>
    </row>
    <row r="88" spans="1:13" x14ac:dyDescent="0.25">
      <c r="A88" t="s">
        <v>64</v>
      </c>
      <c r="B88" t="s">
        <v>317</v>
      </c>
      <c r="C88" t="s">
        <v>30</v>
      </c>
      <c r="D88">
        <v>59.2</v>
      </c>
      <c r="E88">
        <v>64</v>
      </c>
      <c r="F88">
        <v>45</v>
      </c>
      <c r="G88">
        <v>65</v>
      </c>
      <c r="H88">
        <v>72</v>
      </c>
      <c r="I88">
        <v>50</v>
      </c>
      <c r="J88">
        <v>962</v>
      </c>
      <c r="K88" t="str">
        <f>IFERROR(VLOOKUP(A88,Main!A:E,3,0),0)</f>
        <v>Intellipaat</v>
      </c>
      <c r="L88">
        <f>IFERROR(VLOOKUP(A88,Main!A:E,4,0),0)</f>
        <v>59.2</v>
      </c>
      <c r="M88">
        <f>IFERROR(VLOOKUP(A88,Main!A:E,5,0),0)</f>
        <v>64</v>
      </c>
    </row>
    <row r="89" spans="1:13" x14ac:dyDescent="0.25">
      <c r="A89" t="s">
        <v>220</v>
      </c>
      <c r="B89" t="s">
        <v>316</v>
      </c>
      <c r="C89" t="s">
        <v>52</v>
      </c>
      <c r="D89">
        <v>59.2</v>
      </c>
      <c r="E89">
        <v>64</v>
      </c>
      <c r="F89">
        <v>55</v>
      </c>
      <c r="G89">
        <v>50</v>
      </c>
      <c r="H89">
        <v>72</v>
      </c>
      <c r="I89">
        <v>55</v>
      </c>
      <c r="J89">
        <v>697</v>
      </c>
      <c r="K89" t="str">
        <f>IFERROR(VLOOKUP(A89,Main!A:E,3,0),0)</f>
        <v>Simplilearn</v>
      </c>
      <c r="L89">
        <f>IFERROR(VLOOKUP(A89,Main!A:E,4,0),0)</f>
        <v>59.2</v>
      </c>
      <c r="M89">
        <f>IFERROR(VLOOKUP(A89,Main!A:E,5,0),0)</f>
        <v>64</v>
      </c>
    </row>
    <row r="90" spans="1:13" x14ac:dyDescent="0.25">
      <c r="A90" t="s">
        <v>275</v>
      </c>
      <c r="B90" t="s">
        <v>350</v>
      </c>
      <c r="C90" t="s">
        <v>276</v>
      </c>
      <c r="D90">
        <v>58.6</v>
      </c>
      <c r="E90">
        <v>62</v>
      </c>
      <c r="F90">
        <v>45</v>
      </c>
      <c r="G90">
        <v>60</v>
      </c>
      <c r="H90">
        <v>76</v>
      </c>
      <c r="I90">
        <v>50</v>
      </c>
      <c r="J90">
        <v>928</v>
      </c>
      <c r="K90" t="str">
        <f>IFERROR(VLOOKUP(A90,Main!A:E,3,0),0)</f>
        <v>Tina Huang</v>
      </c>
      <c r="L90">
        <f>IFERROR(VLOOKUP(A90,Main!A:E,4,0),0)</f>
        <v>58.6</v>
      </c>
      <c r="M90">
        <f>IFERROR(VLOOKUP(A90,Main!A:E,5,0),0)</f>
        <v>62</v>
      </c>
    </row>
    <row r="91" spans="1:13" x14ac:dyDescent="0.25">
      <c r="A91" t="s">
        <v>267</v>
      </c>
      <c r="B91" t="s">
        <v>317</v>
      </c>
      <c r="C91" t="s">
        <v>30</v>
      </c>
      <c r="D91">
        <v>58</v>
      </c>
      <c r="E91">
        <v>77</v>
      </c>
      <c r="F91">
        <v>55</v>
      </c>
      <c r="G91">
        <v>55</v>
      </c>
      <c r="H91">
        <v>58</v>
      </c>
      <c r="I91">
        <v>45</v>
      </c>
      <c r="J91">
        <v>181</v>
      </c>
      <c r="K91" t="str">
        <f>IFERROR(VLOOKUP(A91,Main!A:E,3,0),0)</f>
        <v>Intellipaat</v>
      </c>
      <c r="L91">
        <f>IFERROR(VLOOKUP(A91,Main!A:E,4,0),0)</f>
        <v>58</v>
      </c>
      <c r="M91">
        <f>IFERROR(VLOOKUP(A91,Main!A:E,5,0),0)</f>
        <v>77</v>
      </c>
    </row>
    <row r="92" spans="1:13" x14ac:dyDescent="0.25">
      <c r="A92" t="s">
        <v>156</v>
      </c>
      <c r="B92" t="s">
        <v>351</v>
      </c>
      <c r="C92" t="s">
        <v>157</v>
      </c>
      <c r="D92">
        <v>57.6</v>
      </c>
      <c r="E92">
        <v>76</v>
      </c>
      <c r="F92">
        <v>50</v>
      </c>
      <c r="G92">
        <v>55</v>
      </c>
      <c r="H92">
        <v>62</v>
      </c>
      <c r="I92">
        <v>45</v>
      </c>
      <c r="J92">
        <v>149</v>
      </c>
      <c r="K92" t="str">
        <f>IFERROR(VLOOKUP(A92,Main!A:E,3,0),0)</f>
        <v>Darshil Parmar</v>
      </c>
      <c r="L92">
        <f>IFERROR(VLOOKUP(A92,Main!A:E,4,0),0)</f>
        <v>57.6</v>
      </c>
      <c r="M92">
        <f>IFERROR(VLOOKUP(A92,Main!A:E,5,0),0)</f>
        <v>76</v>
      </c>
    </row>
    <row r="93" spans="1:13" x14ac:dyDescent="0.25">
      <c r="A93" t="s">
        <v>191</v>
      </c>
      <c r="B93" t="s">
        <v>352</v>
      </c>
      <c r="C93" t="s">
        <v>192</v>
      </c>
      <c r="D93">
        <v>57.6</v>
      </c>
      <c r="E93">
        <v>65</v>
      </c>
      <c r="F93">
        <v>60</v>
      </c>
      <c r="G93">
        <v>60</v>
      </c>
      <c r="H93">
        <v>58</v>
      </c>
      <c r="I93">
        <v>45</v>
      </c>
      <c r="J93">
        <v>424</v>
      </c>
      <c r="K93" t="str">
        <f>IFERROR(VLOOKUP(A93,Main!A:E,3,0),0)</f>
        <v>Eye on Tech</v>
      </c>
      <c r="L93">
        <f>IFERROR(VLOOKUP(A93,Main!A:E,4,0),0)</f>
        <v>57.6</v>
      </c>
      <c r="M93">
        <f>IFERROR(VLOOKUP(A93,Main!A:E,5,0),0)</f>
        <v>65</v>
      </c>
    </row>
    <row r="94" spans="1:13" x14ac:dyDescent="0.25">
      <c r="A94" t="s">
        <v>78</v>
      </c>
      <c r="B94" t="s">
        <v>326</v>
      </c>
      <c r="C94" t="s">
        <v>6</v>
      </c>
      <c r="D94">
        <v>57.4</v>
      </c>
      <c r="E94">
        <v>58</v>
      </c>
      <c r="F94">
        <v>70</v>
      </c>
      <c r="G94">
        <v>60</v>
      </c>
      <c r="H94">
        <v>54</v>
      </c>
      <c r="I94">
        <v>45</v>
      </c>
      <c r="J94">
        <v>396</v>
      </c>
      <c r="K94" t="str">
        <f>IFERROR(VLOOKUP(A94,Main!A:E,3,0),0)</f>
        <v>codebasics</v>
      </c>
      <c r="L94">
        <f>IFERROR(VLOOKUP(A94,Main!A:E,4,0),0)</f>
        <v>57.4</v>
      </c>
      <c r="M94">
        <f>IFERROR(VLOOKUP(A94,Main!A:E,5,0),0)</f>
        <v>58</v>
      </c>
    </row>
    <row r="95" spans="1:13" x14ac:dyDescent="0.25">
      <c r="A95" t="s">
        <v>209</v>
      </c>
      <c r="B95" t="s">
        <v>336</v>
      </c>
      <c r="C95" t="s">
        <v>210</v>
      </c>
      <c r="D95">
        <v>57.4</v>
      </c>
      <c r="E95">
        <v>59</v>
      </c>
      <c r="F95">
        <v>65</v>
      </c>
      <c r="G95">
        <v>45</v>
      </c>
      <c r="H95">
        <v>68</v>
      </c>
      <c r="I95">
        <v>50</v>
      </c>
      <c r="J95">
        <v>874</v>
      </c>
      <c r="K95" t="str">
        <f>IFERROR(VLOOKUP(A95,Main!A:E,3,0),0)</f>
        <v>TEDx Talks</v>
      </c>
      <c r="L95">
        <f>IFERROR(VLOOKUP(A95,Main!A:E,4,0),0)</f>
        <v>57.4</v>
      </c>
      <c r="M95">
        <f>IFERROR(VLOOKUP(A95,Main!A:E,5,0),0)</f>
        <v>59</v>
      </c>
    </row>
    <row r="96" spans="1:13" x14ac:dyDescent="0.25">
      <c r="A96" t="s">
        <v>235</v>
      </c>
      <c r="B96" t="s">
        <v>353</v>
      </c>
      <c r="C96" t="s">
        <v>27</v>
      </c>
      <c r="D96">
        <v>57.2</v>
      </c>
      <c r="E96">
        <v>52</v>
      </c>
      <c r="F96">
        <v>60</v>
      </c>
      <c r="G96">
        <v>50</v>
      </c>
      <c r="H96">
        <v>74</v>
      </c>
      <c r="I96">
        <v>50</v>
      </c>
      <c r="J96">
        <v>246</v>
      </c>
      <c r="K96" t="str">
        <f>IFERROR(VLOOKUP(A96,Main!A:E,3,0),0)</f>
        <v>BEPEC</v>
      </c>
      <c r="L96">
        <f>IFERROR(VLOOKUP(A96,Main!A:E,4,0),0)</f>
        <v>57.2</v>
      </c>
      <c r="M96">
        <f>IFERROR(VLOOKUP(A96,Main!A:E,5,0),0)</f>
        <v>52</v>
      </c>
    </row>
    <row r="97" spans="1:13" x14ac:dyDescent="0.25">
      <c r="A97" t="s">
        <v>167</v>
      </c>
      <c r="B97" t="s">
        <v>326</v>
      </c>
      <c r="C97" t="s">
        <v>6</v>
      </c>
      <c r="D97">
        <v>56.6</v>
      </c>
      <c r="E97">
        <v>49</v>
      </c>
      <c r="F97">
        <v>65</v>
      </c>
      <c r="G97">
        <v>50</v>
      </c>
      <c r="H97">
        <v>64</v>
      </c>
      <c r="I97">
        <v>55</v>
      </c>
      <c r="J97">
        <v>926</v>
      </c>
      <c r="K97" t="str">
        <f>IFERROR(VLOOKUP(A97,Main!A:E,3,0),0)</f>
        <v>codebasics</v>
      </c>
      <c r="L97">
        <f>IFERROR(VLOOKUP(A97,Main!A:E,4,0),0)</f>
        <v>56.6</v>
      </c>
      <c r="M97">
        <f>IFERROR(VLOOKUP(A97,Main!A:E,5,0),0)</f>
        <v>49</v>
      </c>
    </row>
    <row r="98" spans="1:13" x14ac:dyDescent="0.25">
      <c r="A98" t="s">
        <v>277</v>
      </c>
      <c r="B98" t="s">
        <v>354</v>
      </c>
      <c r="C98" t="s">
        <v>278</v>
      </c>
      <c r="D98">
        <v>56.4</v>
      </c>
      <c r="E98">
        <v>55</v>
      </c>
      <c r="F98">
        <v>60</v>
      </c>
      <c r="G98">
        <v>45</v>
      </c>
      <c r="H98">
        <v>72</v>
      </c>
      <c r="I98">
        <v>50</v>
      </c>
      <c r="J98">
        <v>823</v>
      </c>
      <c r="K98" t="str">
        <f>IFERROR(VLOOKUP(A98,Main!A:E,3,0),0)</f>
        <v>Avery Smith | Data Analyst</v>
      </c>
      <c r="L98">
        <f>IFERROR(VLOOKUP(A98,Main!A:E,4,0),0)</f>
        <v>56.4</v>
      </c>
      <c r="M98">
        <f>IFERROR(VLOOKUP(A98,Main!A:E,5,0),0)</f>
        <v>55</v>
      </c>
    </row>
    <row r="99" spans="1:13" x14ac:dyDescent="0.25">
      <c r="A99" t="s">
        <v>107</v>
      </c>
      <c r="B99" t="s">
        <v>338</v>
      </c>
      <c r="C99" t="s">
        <v>61</v>
      </c>
      <c r="D99">
        <v>56.4</v>
      </c>
      <c r="E99">
        <v>61</v>
      </c>
      <c r="F99">
        <v>65</v>
      </c>
      <c r="G99">
        <v>50</v>
      </c>
      <c r="H99">
        <v>58</v>
      </c>
      <c r="I99">
        <v>48</v>
      </c>
      <c r="J99">
        <v>219</v>
      </c>
      <c r="K99" t="str">
        <f>IFERROR(VLOOKUP(A99,Main!A:E,3,0),0)</f>
        <v>Sundas Khalid</v>
      </c>
      <c r="L99">
        <f>IFERROR(VLOOKUP(A99,Main!A:E,4,0),0)</f>
        <v>56.4</v>
      </c>
      <c r="M99">
        <f>IFERROR(VLOOKUP(A99,Main!A:E,5,0),0)</f>
        <v>61</v>
      </c>
    </row>
    <row r="100" spans="1:13" x14ac:dyDescent="0.25">
      <c r="A100" t="s">
        <v>196</v>
      </c>
      <c r="B100" t="s">
        <v>353</v>
      </c>
      <c r="C100" t="s">
        <v>27</v>
      </c>
      <c r="D100">
        <v>55.8</v>
      </c>
      <c r="E100">
        <v>58</v>
      </c>
      <c r="F100">
        <v>55</v>
      </c>
      <c r="G100">
        <v>50</v>
      </c>
      <c r="H100">
        <v>66</v>
      </c>
      <c r="I100">
        <v>50</v>
      </c>
      <c r="J100">
        <v>445</v>
      </c>
      <c r="K100" t="str">
        <f>IFERROR(VLOOKUP(A100,Main!A:E,3,0),0)</f>
        <v>BEPEC</v>
      </c>
      <c r="L100">
        <f>IFERROR(VLOOKUP(A100,Main!A:E,4,0),0)</f>
        <v>55.8</v>
      </c>
      <c r="M100">
        <f>IFERROR(VLOOKUP(A100,Main!A:E,5,0),0)</f>
        <v>58</v>
      </c>
    </row>
    <row r="101" spans="1:13" x14ac:dyDescent="0.25">
      <c r="A101" t="s">
        <v>254</v>
      </c>
      <c r="B101" t="s">
        <v>337</v>
      </c>
      <c r="C101" t="s">
        <v>10</v>
      </c>
      <c r="D101">
        <v>55.8</v>
      </c>
      <c r="E101">
        <v>55</v>
      </c>
      <c r="F101">
        <v>65</v>
      </c>
      <c r="G101">
        <v>45</v>
      </c>
      <c r="H101">
        <v>64</v>
      </c>
      <c r="I101">
        <v>50</v>
      </c>
      <c r="J101">
        <v>657</v>
      </c>
      <c r="K101" t="str">
        <f>IFERROR(VLOOKUP(A101,Main!A:E,3,0),0)</f>
        <v>Anwar Haq</v>
      </c>
      <c r="L101">
        <f>IFERROR(VLOOKUP(A101,Main!A:E,4,0),0)</f>
        <v>55.8</v>
      </c>
      <c r="M101">
        <f>IFERROR(VLOOKUP(A101,Main!A:E,5,0),0)</f>
        <v>55</v>
      </c>
    </row>
    <row r="102" spans="1:13" x14ac:dyDescent="0.25">
      <c r="A102" t="s">
        <v>265</v>
      </c>
      <c r="B102" t="s">
        <v>355</v>
      </c>
      <c r="C102" t="s">
        <v>266</v>
      </c>
      <c r="D102">
        <v>55.8</v>
      </c>
      <c r="E102">
        <v>56</v>
      </c>
      <c r="F102">
        <v>55</v>
      </c>
      <c r="G102">
        <v>50</v>
      </c>
      <c r="H102">
        <v>68</v>
      </c>
      <c r="I102">
        <v>50</v>
      </c>
      <c r="J102">
        <v>560</v>
      </c>
      <c r="K102" t="str">
        <f>IFERROR(VLOOKUP(A102,Main!A:E,3,0),0)</f>
        <v>Khoury College of Computer Sciences</v>
      </c>
      <c r="L102">
        <f>IFERROR(VLOOKUP(A102,Main!A:E,4,0),0)</f>
        <v>55.8</v>
      </c>
      <c r="M102">
        <f>IFERROR(VLOOKUP(A102,Main!A:E,5,0),0)</f>
        <v>56</v>
      </c>
    </row>
    <row r="103" spans="1:13" x14ac:dyDescent="0.25">
      <c r="A103" t="s">
        <v>199</v>
      </c>
      <c r="B103" t="s">
        <v>356</v>
      </c>
      <c r="C103" t="s">
        <v>200</v>
      </c>
      <c r="D103">
        <v>55.6</v>
      </c>
      <c r="E103">
        <v>61</v>
      </c>
      <c r="F103">
        <v>60</v>
      </c>
      <c r="G103">
        <v>50</v>
      </c>
      <c r="H103">
        <v>62</v>
      </c>
      <c r="I103">
        <v>45</v>
      </c>
      <c r="J103">
        <v>287</v>
      </c>
      <c r="K103" t="str">
        <f>IFERROR(VLOOKUP(A103,Main!A:E,3,0),0)</f>
        <v>Mo Chen</v>
      </c>
      <c r="L103">
        <f>IFERROR(VLOOKUP(A103,Main!A:E,4,0),0)</f>
        <v>55.6</v>
      </c>
      <c r="M103">
        <f>IFERROR(VLOOKUP(A103,Main!A:E,5,0),0)</f>
        <v>61</v>
      </c>
    </row>
    <row r="104" spans="1:13" x14ac:dyDescent="0.25">
      <c r="A104" t="s">
        <v>158</v>
      </c>
      <c r="B104" t="s">
        <v>353</v>
      </c>
      <c r="C104" t="s">
        <v>27</v>
      </c>
      <c r="D104">
        <v>55.2</v>
      </c>
      <c r="E104">
        <v>61</v>
      </c>
      <c r="F104">
        <v>50</v>
      </c>
      <c r="G104">
        <v>50</v>
      </c>
      <c r="H104">
        <v>70</v>
      </c>
      <c r="I104">
        <v>45</v>
      </c>
      <c r="J104">
        <v>244</v>
      </c>
      <c r="K104" t="str">
        <f>IFERROR(VLOOKUP(A104,Main!A:E,3,0),0)</f>
        <v>BEPEC</v>
      </c>
      <c r="L104">
        <f>IFERROR(VLOOKUP(A104,Main!A:E,4,0),0)</f>
        <v>55.2</v>
      </c>
      <c r="M104">
        <f>IFERROR(VLOOKUP(A104,Main!A:E,5,0),0)</f>
        <v>61</v>
      </c>
    </row>
    <row r="105" spans="1:13" x14ac:dyDescent="0.25">
      <c r="A105" t="s">
        <v>281</v>
      </c>
      <c r="B105" t="s">
        <v>321</v>
      </c>
      <c r="C105" t="s">
        <v>282</v>
      </c>
      <c r="D105">
        <v>55.2</v>
      </c>
      <c r="E105">
        <v>46</v>
      </c>
      <c r="F105">
        <v>60</v>
      </c>
      <c r="G105">
        <v>55</v>
      </c>
      <c r="H105">
        <v>62</v>
      </c>
      <c r="I105">
        <v>53</v>
      </c>
      <c r="J105">
        <v>217</v>
      </c>
      <c r="K105" t="str">
        <f>IFERROR(VLOOKUP(A105,Main!A:E,3,0),0)</f>
        <v>Data with Baraa</v>
      </c>
      <c r="L105">
        <f>IFERROR(VLOOKUP(A105,Main!A:E,4,0),0)</f>
        <v>55.2</v>
      </c>
      <c r="M105">
        <f>IFERROR(VLOOKUP(A105,Main!A:E,5,0),0)</f>
        <v>46</v>
      </c>
    </row>
    <row r="106" spans="1:13" x14ac:dyDescent="0.25">
      <c r="A106" t="s">
        <v>281</v>
      </c>
      <c r="B106" t="s">
        <v>321</v>
      </c>
      <c r="C106" t="s">
        <v>282</v>
      </c>
      <c r="D106">
        <v>55.2</v>
      </c>
      <c r="E106">
        <v>46</v>
      </c>
      <c r="F106">
        <v>60</v>
      </c>
      <c r="G106">
        <v>55</v>
      </c>
      <c r="H106">
        <v>62</v>
      </c>
      <c r="I106">
        <v>53</v>
      </c>
      <c r="J106">
        <v>217</v>
      </c>
      <c r="K106" t="str">
        <f>IFERROR(VLOOKUP(A106,Main!A:E,3,0),0)</f>
        <v>Data with Baraa</v>
      </c>
      <c r="L106">
        <f>IFERROR(VLOOKUP(A106,Main!A:E,4,0),0)</f>
        <v>55.2</v>
      </c>
      <c r="M106">
        <f>IFERROR(VLOOKUP(A106,Main!A:E,5,0),0)</f>
        <v>46</v>
      </c>
    </row>
    <row r="107" spans="1:13" x14ac:dyDescent="0.25">
      <c r="A107" t="s">
        <v>204</v>
      </c>
      <c r="B107" t="s">
        <v>357</v>
      </c>
      <c r="C107" t="s">
        <v>205</v>
      </c>
      <c r="D107">
        <v>55</v>
      </c>
      <c r="E107">
        <v>62</v>
      </c>
      <c r="F107">
        <v>55</v>
      </c>
      <c r="G107">
        <v>50</v>
      </c>
      <c r="H107">
        <v>58</v>
      </c>
      <c r="I107">
        <v>50</v>
      </c>
      <c r="J107">
        <v>185</v>
      </c>
      <c r="K107" t="str">
        <f>IFERROR(VLOOKUP(A107,Main!A:E,3,0),0)</f>
        <v>Rob Mulla</v>
      </c>
      <c r="L107">
        <f>IFERROR(VLOOKUP(A107,Main!A:E,4,0),0)</f>
        <v>55</v>
      </c>
      <c r="M107">
        <f>IFERROR(VLOOKUP(A107,Main!A:E,5,0),0)</f>
        <v>62</v>
      </c>
    </row>
    <row r="108" spans="1:13" x14ac:dyDescent="0.25">
      <c r="A108" t="s">
        <v>124</v>
      </c>
      <c r="B108" t="s">
        <v>353</v>
      </c>
      <c r="C108" t="s">
        <v>27</v>
      </c>
      <c r="D108">
        <v>54.8</v>
      </c>
      <c r="E108">
        <v>55</v>
      </c>
      <c r="F108">
        <v>70</v>
      </c>
      <c r="G108">
        <v>45</v>
      </c>
      <c r="H108">
        <v>54</v>
      </c>
      <c r="I108">
        <v>50</v>
      </c>
      <c r="J108">
        <v>223</v>
      </c>
      <c r="K108" t="str">
        <f>IFERROR(VLOOKUP(A108,Main!A:E,3,0),0)</f>
        <v>BEPEC</v>
      </c>
      <c r="L108">
        <f>IFERROR(VLOOKUP(A108,Main!A:E,4,0),0)</f>
        <v>54.8</v>
      </c>
      <c r="M108">
        <f>IFERROR(VLOOKUP(A108,Main!A:E,5,0),0)</f>
        <v>55</v>
      </c>
    </row>
    <row r="109" spans="1:13" x14ac:dyDescent="0.25">
      <c r="A109" t="s">
        <v>307</v>
      </c>
      <c r="B109" t="s">
        <v>338</v>
      </c>
      <c r="C109" t="s">
        <v>61</v>
      </c>
      <c r="D109">
        <v>54.6</v>
      </c>
      <c r="E109">
        <v>49</v>
      </c>
      <c r="F109">
        <v>55</v>
      </c>
      <c r="G109">
        <v>50</v>
      </c>
      <c r="H109">
        <v>54</v>
      </c>
      <c r="I109">
        <v>65</v>
      </c>
      <c r="J109">
        <v>314</v>
      </c>
      <c r="K109" t="str">
        <f>IFERROR(VLOOKUP(A109,Main!A:E,3,0),0)</f>
        <v>Sundas Khalid</v>
      </c>
      <c r="L109">
        <f>IFERROR(VLOOKUP(A109,Main!A:E,4,0),0)</f>
        <v>54.6</v>
      </c>
      <c r="M109">
        <f>IFERROR(VLOOKUP(A109,Main!A:E,5,0),0)</f>
        <v>49</v>
      </c>
    </row>
    <row r="110" spans="1:13" x14ac:dyDescent="0.25">
      <c r="A110" t="s">
        <v>83</v>
      </c>
      <c r="B110" t="s">
        <v>358</v>
      </c>
      <c r="C110" t="s">
        <v>84</v>
      </c>
      <c r="D110">
        <v>54.6</v>
      </c>
      <c r="E110">
        <v>55</v>
      </c>
      <c r="F110">
        <v>60</v>
      </c>
      <c r="G110">
        <v>50</v>
      </c>
      <c r="H110">
        <v>58</v>
      </c>
      <c r="I110">
        <v>50</v>
      </c>
      <c r="J110">
        <v>399</v>
      </c>
      <c r="K110" t="str">
        <f>IFERROR(VLOOKUP(A110,Main!A:E,3,0),0)</f>
        <v>Hire Ready</v>
      </c>
      <c r="L110">
        <f>IFERROR(VLOOKUP(A110,Main!A:E,4,0),0)</f>
        <v>54.6</v>
      </c>
      <c r="M110">
        <f>IFERROR(VLOOKUP(A110,Main!A:E,5,0),0)</f>
        <v>55</v>
      </c>
    </row>
    <row r="111" spans="1:13" x14ac:dyDescent="0.25">
      <c r="A111" t="s">
        <v>76</v>
      </c>
      <c r="B111" t="s">
        <v>316</v>
      </c>
      <c r="C111" t="s">
        <v>52</v>
      </c>
      <c r="D111">
        <v>54.4</v>
      </c>
      <c r="E111">
        <v>64</v>
      </c>
      <c r="F111">
        <v>60</v>
      </c>
      <c r="G111">
        <v>45</v>
      </c>
      <c r="H111">
        <v>58</v>
      </c>
      <c r="I111">
        <v>45</v>
      </c>
      <c r="J111">
        <v>499</v>
      </c>
      <c r="K111" t="str">
        <f>IFERROR(VLOOKUP(A111,Main!A:E,3,0),0)</f>
        <v>Simplilearn</v>
      </c>
      <c r="L111">
        <f>IFERROR(VLOOKUP(A111,Main!A:E,4,0),0)</f>
        <v>54.4</v>
      </c>
      <c r="M111">
        <f>IFERROR(VLOOKUP(A111,Main!A:E,5,0),0)</f>
        <v>64</v>
      </c>
    </row>
    <row r="112" spans="1:13" x14ac:dyDescent="0.25">
      <c r="A112" t="s">
        <v>296</v>
      </c>
      <c r="B112" t="s">
        <v>353</v>
      </c>
      <c r="C112" t="s">
        <v>27</v>
      </c>
      <c r="D112">
        <v>54.2</v>
      </c>
      <c r="E112">
        <v>73</v>
      </c>
      <c r="F112">
        <v>50</v>
      </c>
      <c r="G112">
        <v>45</v>
      </c>
      <c r="H112">
        <v>58</v>
      </c>
      <c r="I112">
        <v>45</v>
      </c>
      <c r="J112">
        <v>229</v>
      </c>
      <c r="K112" t="str">
        <f>IFERROR(VLOOKUP(A112,Main!A:E,3,0),0)</f>
        <v>BEPEC</v>
      </c>
      <c r="L112">
        <f>IFERROR(VLOOKUP(A112,Main!A:E,4,0),0)</f>
        <v>54.2</v>
      </c>
      <c r="M112">
        <f>IFERROR(VLOOKUP(A112,Main!A:E,5,0),0)</f>
        <v>73</v>
      </c>
    </row>
    <row r="113" spans="1:13" x14ac:dyDescent="0.25">
      <c r="A113" t="s">
        <v>296</v>
      </c>
      <c r="B113" t="s">
        <v>353</v>
      </c>
      <c r="C113" t="s">
        <v>27</v>
      </c>
      <c r="D113">
        <v>54.2</v>
      </c>
      <c r="E113">
        <v>73</v>
      </c>
      <c r="F113">
        <v>50</v>
      </c>
      <c r="G113">
        <v>45</v>
      </c>
      <c r="H113">
        <v>58</v>
      </c>
      <c r="I113">
        <v>45</v>
      </c>
      <c r="J113">
        <v>229</v>
      </c>
      <c r="K113" t="str">
        <f>IFERROR(VLOOKUP(A113,Main!A:E,3,0),0)</f>
        <v>BEPEC</v>
      </c>
      <c r="L113">
        <f>IFERROR(VLOOKUP(A113,Main!A:E,4,0),0)</f>
        <v>54.2</v>
      </c>
      <c r="M113">
        <f>IFERROR(VLOOKUP(A113,Main!A:E,5,0),0)</f>
        <v>73</v>
      </c>
    </row>
    <row r="114" spans="1:13" x14ac:dyDescent="0.25">
      <c r="A114" t="s">
        <v>97</v>
      </c>
      <c r="B114" t="s">
        <v>359</v>
      </c>
      <c r="C114" t="s">
        <v>98</v>
      </c>
      <c r="D114">
        <v>54.2</v>
      </c>
      <c r="E114">
        <v>67</v>
      </c>
      <c r="F114">
        <v>50</v>
      </c>
      <c r="G114">
        <v>55</v>
      </c>
      <c r="H114">
        <v>54</v>
      </c>
      <c r="I114">
        <v>45</v>
      </c>
      <c r="J114">
        <v>445</v>
      </c>
      <c r="K114" t="str">
        <f>IFERROR(VLOOKUP(A114,Main!A:E,3,0),0)</f>
        <v>Coursera</v>
      </c>
      <c r="L114">
        <f>IFERROR(VLOOKUP(A114,Main!A:E,4,0),0)</f>
        <v>54.2</v>
      </c>
      <c r="M114">
        <f>IFERROR(VLOOKUP(A114,Main!A:E,5,0),0)</f>
        <v>67</v>
      </c>
    </row>
    <row r="115" spans="1:13" x14ac:dyDescent="0.25">
      <c r="A115" t="s">
        <v>137</v>
      </c>
      <c r="B115" t="s">
        <v>317</v>
      </c>
      <c r="C115" t="s">
        <v>30</v>
      </c>
      <c r="D115">
        <v>54.2</v>
      </c>
      <c r="E115">
        <v>49</v>
      </c>
      <c r="F115">
        <v>55</v>
      </c>
      <c r="G115">
        <v>50</v>
      </c>
      <c r="H115">
        <v>72</v>
      </c>
      <c r="I115">
        <v>45</v>
      </c>
      <c r="J115">
        <v>918</v>
      </c>
      <c r="K115" t="str">
        <f>IFERROR(VLOOKUP(A115,Main!A:E,3,0),0)</f>
        <v>Intellipaat</v>
      </c>
      <c r="L115">
        <f>IFERROR(VLOOKUP(A115,Main!A:E,4,0),0)</f>
        <v>54.2</v>
      </c>
      <c r="M115">
        <f>IFERROR(VLOOKUP(A115,Main!A:E,5,0),0)</f>
        <v>49</v>
      </c>
    </row>
    <row r="116" spans="1:13" x14ac:dyDescent="0.25">
      <c r="A116" t="s">
        <v>258</v>
      </c>
      <c r="B116" t="s">
        <v>338</v>
      </c>
      <c r="C116" t="s">
        <v>61</v>
      </c>
      <c r="D116">
        <v>54.2</v>
      </c>
      <c r="E116">
        <v>49</v>
      </c>
      <c r="F116">
        <v>60</v>
      </c>
      <c r="G116">
        <v>50</v>
      </c>
      <c r="H116">
        <v>62</v>
      </c>
      <c r="I116">
        <v>50</v>
      </c>
      <c r="J116">
        <v>123</v>
      </c>
      <c r="K116" t="str">
        <f>IFERROR(VLOOKUP(A116,Main!A:E,3,0),0)</f>
        <v>Sundas Khalid</v>
      </c>
      <c r="L116">
        <f>IFERROR(VLOOKUP(A116,Main!A:E,4,0),0)</f>
        <v>54.2</v>
      </c>
      <c r="M116">
        <f>IFERROR(VLOOKUP(A116,Main!A:E,5,0),0)</f>
        <v>49</v>
      </c>
    </row>
    <row r="117" spans="1:13" x14ac:dyDescent="0.25">
      <c r="A117" t="s">
        <v>151</v>
      </c>
      <c r="B117" t="s">
        <v>360</v>
      </c>
      <c r="C117" t="s">
        <v>152</v>
      </c>
      <c r="D117">
        <v>54</v>
      </c>
      <c r="E117">
        <v>58</v>
      </c>
      <c r="F117">
        <v>50</v>
      </c>
      <c r="G117">
        <v>55</v>
      </c>
      <c r="H117">
        <v>62</v>
      </c>
      <c r="I117">
        <v>45</v>
      </c>
      <c r="J117">
        <v>190</v>
      </c>
      <c r="K117" t="str">
        <f>IFERROR(VLOOKUP(A117,Main!A:E,3,0),0)</f>
        <v>Analytics Vidhya</v>
      </c>
      <c r="L117">
        <f>IFERROR(VLOOKUP(A117,Main!A:E,4,0),0)</f>
        <v>54</v>
      </c>
      <c r="M117">
        <f>IFERROR(VLOOKUP(A117,Main!A:E,5,0),0)</f>
        <v>58</v>
      </c>
    </row>
    <row r="118" spans="1:13" x14ac:dyDescent="0.25">
      <c r="A118" t="s">
        <v>151</v>
      </c>
      <c r="B118" t="s">
        <v>360</v>
      </c>
      <c r="C118" t="s">
        <v>152</v>
      </c>
      <c r="D118">
        <v>54</v>
      </c>
      <c r="E118">
        <v>58</v>
      </c>
      <c r="F118">
        <v>50</v>
      </c>
      <c r="G118">
        <v>55</v>
      </c>
      <c r="H118">
        <v>62</v>
      </c>
      <c r="I118">
        <v>45</v>
      </c>
      <c r="J118">
        <v>190</v>
      </c>
      <c r="K118" t="str">
        <f>IFERROR(VLOOKUP(A118,Main!A:E,3,0),0)</f>
        <v>Analytics Vidhya</v>
      </c>
      <c r="L118">
        <f>IFERROR(VLOOKUP(A118,Main!A:E,4,0),0)</f>
        <v>54</v>
      </c>
      <c r="M118">
        <f>IFERROR(VLOOKUP(A118,Main!A:E,5,0),0)</f>
        <v>58</v>
      </c>
    </row>
    <row r="119" spans="1:13" x14ac:dyDescent="0.25">
      <c r="A119" t="s">
        <v>172</v>
      </c>
      <c r="B119" t="s">
        <v>338</v>
      </c>
      <c r="C119" t="s">
        <v>61</v>
      </c>
      <c r="D119">
        <v>53.8</v>
      </c>
      <c r="E119">
        <v>52</v>
      </c>
      <c r="F119">
        <v>55</v>
      </c>
      <c r="G119">
        <v>55</v>
      </c>
      <c r="H119">
        <v>62</v>
      </c>
      <c r="I119">
        <v>45</v>
      </c>
      <c r="J119">
        <v>134</v>
      </c>
      <c r="K119" t="str">
        <f>IFERROR(VLOOKUP(A119,Main!A:E,3,0),0)</f>
        <v>Sundas Khalid</v>
      </c>
      <c r="L119">
        <f>IFERROR(VLOOKUP(A119,Main!A:E,4,0),0)</f>
        <v>53.8</v>
      </c>
      <c r="M119">
        <f>IFERROR(VLOOKUP(A119,Main!A:E,5,0),0)</f>
        <v>52</v>
      </c>
    </row>
    <row r="120" spans="1:13" x14ac:dyDescent="0.25">
      <c r="A120" t="s">
        <v>184</v>
      </c>
      <c r="B120" t="s">
        <v>361</v>
      </c>
      <c r="C120" t="s">
        <v>185</v>
      </c>
      <c r="D120">
        <v>53.6</v>
      </c>
      <c r="E120">
        <v>49</v>
      </c>
      <c r="F120">
        <v>55</v>
      </c>
      <c r="G120">
        <v>65</v>
      </c>
      <c r="H120">
        <v>54</v>
      </c>
      <c r="I120">
        <v>45</v>
      </c>
      <c r="J120">
        <v>151</v>
      </c>
      <c r="K120" t="str">
        <f>IFERROR(VLOOKUP(A120,Main!A:E,3,0),0)</f>
        <v>Maggie In Data</v>
      </c>
      <c r="L120">
        <f>IFERROR(VLOOKUP(A120,Main!A:E,4,0),0)</f>
        <v>53.6</v>
      </c>
      <c r="M120">
        <f>IFERROR(VLOOKUP(A120,Main!A:E,5,0),0)</f>
        <v>49</v>
      </c>
    </row>
    <row r="121" spans="1:13" x14ac:dyDescent="0.25">
      <c r="A121" t="s">
        <v>161</v>
      </c>
      <c r="B121" t="s">
        <v>360</v>
      </c>
      <c r="C121" t="s">
        <v>152</v>
      </c>
      <c r="D121">
        <v>53.6</v>
      </c>
      <c r="E121">
        <v>52</v>
      </c>
      <c r="F121">
        <v>50</v>
      </c>
      <c r="G121">
        <v>50</v>
      </c>
      <c r="H121">
        <v>66</v>
      </c>
      <c r="I121">
        <v>50</v>
      </c>
      <c r="J121">
        <v>236</v>
      </c>
      <c r="K121" t="str">
        <f>IFERROR(VLOOKUP(A121,Main!A:E,3,0),0)</f>
        <v>Analytics Vidhya</v>
      </c>
      <c r="L121">
        <f>IFERROR(VLOOKUP(A121,Main!A:E,4,0),0)</f>
        <v>53.6</v>
      </c>
      <c r="M121">
        <f>IFERROR(VLOOKUP(A121,Main!A:E,5,0),0)</f>
        <v>52</v>
      </c>
    </row>
    <row r="122" spans="1:13" x14ac:dyDescent="0.25">
      <c r="A122" t="s">
        <v>299</v>
      </c>
      <c r="B122" t="s">
        <v>360</v>
      </c>
      <c r="C122" t="s">
        <v>152</v>
      </c>
      <c r="D122">
        <v>53.2</v>
      </c>
      <c r="E122">
        <v>58</v>
      </c>
      <c r="F122">
        <v>50</v>
      </c>
      <c r="G122">
        <v>50</v>
      </c>
      <c r="H122">
        <v>58</v>
      </c>
      <c r="I122">
        <v>50</v>
      </c>
      <c r="J122">
        <v>178</v>
      </c>
      <c r="K122" t="str">
        <f>IFERROR(VLOOKUP(A122,Main!A:E,3,0),0)</f>
        <v>Analytics Vidhya</v>
      </c>
      <c r="L122">
        <f>IFERROR(VLOOKUP(A122,Main!A:E,4,0),0)</f>
        <v>53.2</v>
      </c>
      <c r="M122">
        <f>IFERROR(VLOOKUP(A122,Main!A:E,5,0),0)</f>
        <v>58</v>
      </c>
    </row>
    <row r="123" spans="1:13" x14ac:dyDescent="0.25">
      <c r="A123" t="s">
        <v>164</v>
      </c>
      <c r="B123" t="s">
        <v>317</v>
      </c>
      <c r="C123" t="s">
        <v>30</v>
      </c>
      <c r="D123">
        <v>53.2</v>
      </c>
      <c r="E123">
        <v>58</v>
      </c>
      <c r="F123">
        <v>60</v>
      </c>
      <c r="G123">
        <v>45</v>
      </c>
      <c r="H123">
        <v>58</v>
      </c>
      <c r="I123">
        <v>45</v>
      </c>
      <c r="J123">
        <v>214</v>
      </c>
      <c r="K123" t="str">
        <f>IFERROR(VLOOKUP(A123,Main!A:E,3,0),0)</f>
        <v>Intellipaat</v>
      </c>
      <c r="L123">
        <f>IFERROR(VLOOKUP(A123,Main!A:E,4,0),0)</f>
        <v>53.2</v>
      </c>
      <c r="M123">
        <f>IFERROR(VLOOKUP(A123,Main!A:E,5,0),0)</f>
        <v>58</v>
      </c>
    </row>
    <row r="124" spans="1:13" x14ac:dyDescent="0.25">
      <c r="A124" t="s">
        <v>206</v>
      </c>
      <c r="B124" t="s">
        <v>317</v>
      </c>
      <c r="C124" t="s">
        <v>30</v>
      </c>
      <c r="D124">
        <v>53</v>
      </c>
      <c r="E124">
        <v>46</v>
      </c>
      <c r="F124">
        <v>60</v>
      </c>
      <c r="G124">
        <v>55</v>
      </c>
      <c r="H124">
        <v>54</v>
      </c>
      <c r="I124">
        <v>50</v>
      </c>
      <c r="J124">
        <v>239</v>
      </c>
      <c r="K124" t="str">
        <f>IFERROR(VLOOKUP(A124,Main!A:E,3,0),0)</f>
        <v>Intellipaat</v>
      </c>
      <c r="L124">
        <f>IFERROR(VLOOKUP(A124,Main!A:E,4,0),0)</f>
        <v>53</v>
      </c>
      <c r="M124">
        <f>IFERROR(VLOOKUP(A124,Main!A:E,5,0),0)</f>
        <v>46</v>
      </c>
    </row>
    <row r="125" spans="1:13" x14ac:dyDescent="0.25">
      <c r="A125" t="s">
        <v>234</v>
      </c>
      <c r="B125" t="s">
        <v>317</v>
      </c>
      <c r="C125" t="s">
        <v>30</v>
      </c>
      <c r="D125">
        <v>53</v>
      </c>
      <c r="E125">
        <v>46</v>
      </c>
      <c r="F125">
        <v>60</v>
      </c>
      <c r="G125">
        <v>55</v>
      </c>
      <c r="H125">
        <v>54</v>
      </c>
      <c r="I125">
        <v>50</v>
      </c>
      <c r="J125">
        <v>239</v>
      </c>
      <c r="K125" t="str">
        <f>IFERROR(VLOOKUP(A125,Main!A:E,3,0),0)</f>
        <v>Intellipaat</v>
      </c>
      <c r="L125">
        <f>IFERROR(VLOOKUP(A125,Main!A:E,4,0),0)</f>
        <v>53</v>
      </c>
      <c r="M125">
        <f>IFERROR(VLOOKUP(A125,Main!A:E,5,0),0)</f>
        <v>46</v>
      </c>
    </row>
    <row r="126" spans="1:13" x14ac:dyDescent="0.25">
      <c r="A126" t="s">
        <v>247</v>
      </c>
      <c r="B126" t="s">
        <v>362</v>
      </c>
      <c r="C126" t="s">
        <v>248</v>
      </c>
      <c r="D126">
        <v>53</v>
      </c>
      <c r="E126">
        <v>62</v>
      </c>
      <c r="F126">
        <v>60</v>
      </c>
      <c r="G126">
        <v>45</v>
      </c>
      <c r="H126">
        <v>50</v>
      </c>
      <c r="I126">
        <v>48</v>
      </c>
      <c r="J126">
        <v>195</v>
      </c>
      <c r="K126" t="str">
        <f>IFERROR(VLOOKUP(A126,Main!A:E,3,0),0)</f>
        <v>Top Universities</v>
      </c>
      <c r="L126">
        <f>IFERROR(VLOOKUP(A126,Main!A:E,4,0),0)</f>
        <v>53</v>
      </c>
      <c r="M126">
        <f>IFERROR(VLOOKUP(A126,Main!A:E,5,0),0)</f>
        <v>62</v>
      </c>
    </row>
    <row r="127" spans="1:13" x14ac:dyDescent="0.25">
      <c r="A127" t="s">
        <v>66</v>
      </c>
      <c r="B127" t="s">
        <v>327</v>
      </c>
      <c r="C127" t="s">
        <v>67</v>
      </c>
      <c r="D127">
        <v>53</v>
      </c>
      <c r="E127">
        <v>46</v>
      </c>
      <c r="F127">
        <v>60</v>
      </c>
      <c r="G127">
        <v>60</v>
      </c>
      <c r="H127">
        <v>54</v>
      </c>
      <c r="I127">
        <v>45</v>
      </c>
      <c r="J127">
        <v>217</v>
      </c>
      <c r="K127" t="str">
        <f>IFERROR(VLOOKUP(A127,Main!A:E,3,0),0)</f>
        <v>Sajjaad Khader</v>
      </c>
      <c r="L127">
        <f>IFERROR(VLOOKUP(A127,Main!A:E,4,0),0)</f>
        <v>53</v>
      </c>
      <c r="M127">
        <f>IFERROR(VLOOKUP(A127,Main!A:E,5,0),0)</f>
        <v>46</v>
      </c>
    </row>
    <row r="128" spans="1:13" x14ac:dyDescent="0.25">
      <c r="A128" t="s">
        <v>218</v>
      </c>
      <c r="B128" t="s">
        <v>327</v>
      </c>
      <c r="C128" t="s">
        <v>67</v>
      </c>
      <c r="D128">
        <v>53</v>
      </c>
      <c r="E128">
        <v>52</v>
      </c>
      <c r="F128">
        <v>55</v>
      </c>
      <c r="G128">
        <v>55</v>
      </c>
      <c r="H128">
        <v>58</v>
      </c>
      <c r="I128">
        <v>45</v>
      </c>
      <c r="J128">
        <v>223</v>
      </c>
      <c r="K128" t="str">
        <f>IFERROR(VLOOKUP(A128,Main!A:E,3,0),0)</f>
        <v>Sajjaad Khader</v>
      </c>
      <c r="L128">
        <f>IFERROR(VLOOKUP(A128,Main!A:E,4,0),0)</f>
        <v>53</v>
      </c>
      <c r="M128">
        <f>IFERROR(VLOOKUP(A128,Main!A:E,5,0),0)</f>
        <v>52</v>
      </c>
    </row>
    <row r="129" spans="1:13" x14ac:dyDescent="0.25">
      <c r="A129" t="s">
        <v>34</v>
      </c>
      <c r="B129" t="s">
        <v>363</v>
      </c>
      <c r="C129" t="s">
        <v>35</v>
      </c>
      <c r="D129">
        <v>52.8</v>
      </c>
      <c r="E129">
        <v>59</v>
      </c>
      <c r="F129">
        <v>60</v>
      </c>
      <c r="G129">
        <v>50</v>
      </c>
      <c r="H129">
        <v>50</v>
      </c>
      <c r="I129">
        <v>45</v>
      </c>
      <c r="J129">
        <v>152</v>
      </c>
      <c r="K129" t="str">
        <f>IFERROR(VLOOKUP(A129,Main!A:E,3,0),0)</f>
        <v>Jean Lee</v>
      </c>
      <c r="L129">
        <f>IFERROR(VLOOKUP(A129,Main!A:E,4,0),0)</f>
        <v>52.8</v>
      </c>
      <c r="M129">
        <f>IFERROR(VLOOKUP(A129,Main!A:E,5,0),0)</f>
        <v>59</v>
      </c>
    </row>
    <row r="130" spans="1:13" x14ac:dyDescent="0.25">
      <c r="A130" t="s">
        <v>126</v>
      </c>
      <c r="B130" t="s">
        <v>364</v>
      </c>
      <c r="C130" t="s">
        <v>127</v>
      </c>
      <c r="D130">
        <v>52.6</v>
      </c>
      <c r="E130">
        <v>40</v>
      </c>
      <c r="F130">
        <v>70</v>
      </c>
      <c r="G130">
        <v>50</v>
      </c>
      <c r="H130">
        <v>58</v>
      </c>
      <c r="I130">
        <v>45</v>
      </c>
      <c r="J130">
        <v>267</v>
      </c>
      <c r="K130" t="str">
        <f>IFERROR(VLOOKUP(A130,Main!A:E,3,0),0)</f>
        <v>Charlotte Chaze | Break Into Tech</v>
      </c>
      <c r="L130">
        <f>IFERROR(VLOOKUP(A130,Main!A:E,4,0),0)</f>
        <v>52.6</v>
      </c>
      <c r="M130">
        <f>IFERROR(VLOOKUP(A130,Main!A:E,5,0),0)</f>
        <v>40</v>
      </c>
    </row>
    <row r="131" spans="1:13" x14ac:dyDescent="0.25">
      <c r="A131" t="s">
        <v>149</v>
      </c>
      <c r="B131" t="s">
        <v>317</v>
      </c>
      <c r="C131" t="s">
        <v>30</v>
      </c>
      <c r="D131">
        <v>52.6</v>
      </c>
      <c r="E131">
        <v>49</v>
      </c>
      <c r="F131">
        <v>60</v>
      </c>
      <c r="G131">
        <v>55</v>
      </c>
      <c r="H131">
        <v>54</v>
      </c>
      <c r="I131">
        <v>45</v>
      </c>
      <c r="J131">
        <v>218</v>
      </c>
      <c r="K131" t="str">
        <f>IFERROR(VLOOKUP(A131,Main!A:E,3,0),0)</f>
        <v>Intellipaat</v>
      </c>
      <c r="L131">
        <f>IFERROR(VLOOKUP(A131,Main!A:E,4,0),0)</f>
        <v>52.6</v>
      </c>
      <c r="M131">
        <f>IFERROR(VLOOKUP(A131,Main!A:E,5,0),0)</f>
        <v>49</v>
      </c>
    </row>
    <row r="132" spans="1:13" x14ac:dyDescent="0.25">
      <c r="A132" t="s">
        <v>227</v>
      </c>
      <c r="B132" t="s">
        <v>365</v>
      </c>
      <c r="C132" t="s">
        <v>105</v>
      </c>
      <c r="D132">
        <v>52.4</v>
      </c>
      <c r="E132">
        <v>52</v>
      </c>
      <c r="F132">
        <v>55</v>
      </c>
      <c r="G132">
        <v>55</v>
      </c>
      <c r="H132">
        <v>50</v>
      </c>
      <c r="I132">
        <v>50</v>
      </c>
      <c r="J132">
        <v>159</v>
      </c>
      <c r="K132" t="str">
        <f>IFERROR(VLOOKUP(A132,Main!A:E,3,0),0)</f>
        <v>Data with Zach</v>
      </c>
      <c r="L132">
        <f>IFERROR(VLOOKUP(A132,Main!A:E,4,0),0)</f>
        <v>52.4</v>
      </c>
      <c r="M132">
        <f>IFERROR(VLOOKUP(A132,Main!A:E,5,0),0)</f>
        <v>52</v>
      </c>
    </row>
    <row r="133" spans="1:13" x14ac:dyDescent="0.25">
      <c r="A133" t="s">
        <v>160</v>
      </c>
      <c r="B133" t="s">
        <v>316</v>
      </c>
      <c r="C133" t="s">
        <v>52</v>
      </c>
      <c r="D133">
        <v>52.4</v>
      </c>
      <c r="E133">
        <v>58</v>
      </c>
      <c r="F133">
        <v>55</v>
      </c>
      <c r="G133">
        <v>50</v>
      </c>
      <c r="H133">
        <v>54</v>
      </c>
      <c r="I133">
        <v>45</v>
      </c>
      <c r="J133">
        <v>133</v>
      </c>
      <c r="K133" t="str">
        <f>IFERROR(VLOOKUP(A133,Main!A:E,3,0),0)</f>
        <v>Simplilearn</v>
      </c>
      <c r="L133">
        <f>IFERROR(VLOOKUP(A133,Main!A:E,4,0),0)</f>
        <v>52.4</v>
      </c>
      <c r="M133">
        <f>IFERROR(VLOOKUP(A133,Main!A:E,5,0),0)</f>
        <v>58</v>
      </c>
    </row>
    <row r="134" spans="1:13" x14ac:dyDescent="0.25">
      <c r="A134" t="s">
        <v>189</v>
      </c>
      <c r="B134" t="s">
        <v>365</v>
      </c>
      <c r="C134" t="s">
        <v>105</v>
      </c>
      <c r="D134">
        <v>52.4</v>
      </c>
      <c r="E134">
        <v>52</v>
      </c>
      <c r="F134">
        <v>55</v>
      </c>
      <c r="G134">
        <v>55</v>
      </c>
      <c r="H134">
        <v>50</v>
      </c>
      <c r="I134">
        <v>50</v>
      </c>
      <c r="J134">
        <v>142</v>
      </c>
      <c r="K134" t="str">
        <f>IFERROR(VLOOKUP(A134,Main!A:E,3,0),0)</f>
        <v>Data with Zach</v>
      </c>
      <c r="L134">
        <f>IFERROR(VLOOKUP(A134,Main!A:E,4,0),0)</f>
        <v>52.4</v>
      </c>
      <c r="M134">
        <f>IFERROR(VLOOKUP(A134,Main!A:E,5,0),0)</f>
        <v>52</v>
      </c>
    </row>
    <row r="135" spans="1:13" x14ac:dyDescent="0.25">
      <c r="A135" t="s">
        <v>169</v>
      </c>
      <c r="B135" t="s">
        <v>316</v>
      </c>
      <c r="C135" t="s">
        <v>52</v>
      </c>
      <c r="D135">
        <v>52</v>
      </c>
      <c r="E135">
        <v>55</v>
      </c>
      <c r="F135">
        <v>55</v>
      </c>
      <c r="G135">
        <v>55</v>
      </c>
      <c r="H135">
        <v>50</v>
      </c>
      <c r="I135">
        <v>45</v>
      </c>
      <c r="J135">
        <v>151</v>
      </c>
      <c r="K135" t="str">
        <f>IFERROR(VLOOKUP(A135,Main!A:E,3,0),0)</f>
        <v>Simplilearn</v>
      </c>
      <c r="L135">
        <f>IFERROR(VLOOKUP(A135,Main!A:E,4,0),0)</f>
        <v>52</v>
      </c>
      <c r="M135">
        <f>IFERROR(VLOOKUP(A135,Main!A:E,5,0),0)</f>
        <v>55</v>
      </c>
    </row>
    <row r="136" spans="1:13" x14ac:dyDescent="0.25">
      <c r="A136" t="s">
        <v>115</v>
      </c>
      <c r="B136" t="s">
        <v>338</v>
      </c>
      <c r="C136" t="s">
        <v>61</v>
      </c>
      <c r="D136">
        <v>51.8</v>
      </c>
      <c r="E136">
        <v>52</v>
      </c>
      <c r="F136">
        <v>55</v>
      </c>
      <c r="G136">
        <v>45</v>
      </c>
      <c r="H136">
        <v>62</v>
      </c>
      <c r="I136">
        <v>45</v>
      </c>
      <c r="J136">
        <v>228</v>
      </c>
      <c r="K136" t="str">
        <f>IFERROR(VLOOKUP(A136,Main!A:E,3,0),0)</f>
        <v>Sundas Khalid</v>
      </c>
      <c r="L136">
        <f>IFERROR(VLOOKUP(A136,Main!A:E,4,0),0)</f>
        <v>51.8</v>
      </c>
      <c r="M136">
        <f>IFERROR(VLOOKUP(A136,Main!A:E,5,0),0)</f>
        <v>52</v>
      </c>
    </row>
    <row r="137" spans="1:13" x14ac:dyDescent="0.25">
      <c r="A137" t="s">
        <v>115</v>
      </c>
      <c r="B137" t="s">
        <v>338</v>
      </c>
      <c r="C137" t="s">
        <v>61</v>
      </c>
      <c r="D137">
        <v>51.8</v>
      </c>
      <c r="E137">
        <v>52</v>
      </c>
      <c r="F137">
        <v>55</v>
      </c>
      <c r="G137">
        <v>45</v>
      </c>
      <c r="H137">
        <v>62</v>
      </c>
      <c r="I137">
        <v>45</v>
      </c>
      <c r="J137">
        <v>228</v>
      </c>
      <c r="K137" t="str">
        <f>IFERROR(VLOOKUP(A137,Main!A:E,3,0),0)</f>
        <v>Sundas Khalid</v>
      </c>
      <c r="L137">
        <f>IFERROR(VLOOKUP(A137,Main!A:E,4,0),0)</f>
        <v>51.8</v>
      </c>
      <c r="M137">
        <f>IFERROR(VLOOKUP(A137,Main!A:E,5,0),0)</f>
        <v>52</v>
      </c>
    </row>
    <row r="138" spans="1:13" x14ac:dyDescent="0.25">
      <c r="A138" t="s">
        <v>289</v>
      </c>
      <c r="B138" t="s">
        <v>317</v>
      </c>
      <c r="C138" t="s">
        <v>30</v>
      </c>
      <c r="D138">
        <v>51.8</v>
      </c>
      <c r="E138">
        <v>64</v>
      </c>
      <c r="F138">
        <v>50</v>
      </c>
      <c r="G138">
        <v>50</v>
      </c>
      <c r="H138">
        <v>50</v>
      </c>
      <c r="I138">
        <v>45</v>
      </c>
      <c r="J138">
        <v>232</v>
      </c>
      <c r="K138" t="str">
        <f>IFERROR(VLOOKUP(A138,Main!A:E,3,0),0)</f>
        <v>Intellipaat</v>
      </c>
      <c r="L138">
        <f>IFERROR(VLOOKUP(A138,Main!A:E,4,0),0)</f>
        <v>51.8</v>
      </c>
      <c r="M138">
        <f>IFERROR(VLOOKUP(A138,Main!A:E,5,0),0)</f>
        <v>64</v>
      </c>
    </row>
    <row r="139" spans="1:13" x14ac:dyDescent="0.25">
      <c r="A139" t="s">
        <v>214</v>
      </c>
      <c r="B139" t="s">
        <v>353</v>
      </c>
      <c r="C139" t="s">
        <v>27</v>
      </c>
      <c r="D139">
        <v>51.6</v>
      </c>
      <c r="E139">
        <v>49</v>
      </c>
      <c r="F139">
        <v>55</v>
      </c>
      <c r="G139">
        <v>50</v>
      </c>
      <c r="H139">
        <v>54</v>
      </c>
      <c r="I139">
        <v>50</v>
      </c>
      <c r="J139">
        <v>227</v>
      </c>
      <c r="K139" t="str">
        <f>IFERROR(VLOOKUP(A139,Main!A:E,3,0),0)</f>
        <v>BEPEC</v>
      </c>
      <c r="L139">
        <f>IFERROR(VLOOKUP(A139,Main!A:E,4,0),0)</f>
        <v>51.6</v>
      </c>
      <c r="M139">
        <f>IFERROR(VLOOKUP(A139,Main!A:E,5,0),0)</f>
        <v>49</v>
      </c>
    </row>
    <row r="140" spans="1:13" x14ac:dyDescent="0.25">
      <c r="A140" t="s">
        <v>214</v>
      </c>
      <c r="B140" t="s">
        <v>353</v>
      </c>
      <c r="C140" t="s">
        <v>27</v>
      </c>
      <c r="D140">
        <v>51.6</v>
      </c>
      <c r="E140">
        <v>49</v>
      </c>
      <c r="F140">
        <v>55</v>
      </c>
      <c r="G140">
        <v>50</v>
      </c>
      <c r="H140">
        <v>54</v>
      </c>
      <c r="I140">
        <v>50</v>
      </c>
      <c r="J140">
        <v>227</v>
      </c>
      <c r="K140" t="str">
        <f>IFERROR(VLOOKUP(A140,Main!A:E,3,0),0)</f>
        <v>BEPEC</v>
      </c>
      <c r="L140">
        <f>IFERROR(VLOOKUP(A140,Main!A:E,4,0),0)</f>
        <v>51.6</v>
      </c>
      <c r="M140">
        <f>IFERROR(VLOOKUP(A140,Main!A:E,5,0),0)</f>
        <v>49</v>
      </c>
    </row>
    <row r="141" spans="1:13" x14ac:dyDescent="0.25">
      <c r="A141" t="e">
        <f>-JOoeynadEQ</f>
        <v>#NAME?</v>
      </c>
      <c r="B141" t="s">
        <v>326</v>
      </c>
      <c r="C141" t="s">
        <v>6</v>
      </c>
      <c r="D141">
        <v>51.2</v>
      </c>
      <c r="E141">
        <v>43</v>
      </c>
      <c r="F141">
        <v>50</v>
      </c>
      <c r="G141">
        <v>55</v>
      </c>
      <c r="H141">
        <v>58</v>
      </c>
      <c r="I141">
        <v>50</v>
      </c>
      <c r="J141">
        <v>136</v>
      </c>
      <c r="K141">
        <f>IFERROR(VLOOKUP(A141,Main!A:E,3,0),0)</f>
        <v>0</v>
      </c>
      <c r="L141">
        <f>IFERROR(VLOOKUP(A141,Main!A:E,4,0),0)</f>
        <v>0</v>
      </c>
      <c r="M141">
        <f>IFERROR(VLOOKUP(A141,Main!A:E,5,0),0)</f>
        <v>0</v>
      </c>
    </row>
    <row r="142" spans="1:13" x14ac:dyDescent="0.25">
      <c r="A142" t="s">
        <v>229</v>
      </c>
      <c r="B142" t="s">
        <v>327</v>
      </c>
      <c r="C142" t="s">
        <v>67</v>
      </c>
      <c r="D142">
        <v>51.2</v>
      </c>
      <c r="E142">
        <v>55</v>
      </c>
      <c r="F142">
        <v>55</v>
      </c>
      <c r="G142">
        <v>45</v>
      </c>
      <c r="H142">
        <v>50</v>
      </c>
      <c r="I142">
        <v>51</v>
      </c>
      <c r="J142">
        <v>111</v>
      </c>
      <c r="K142" t="str">
        <f>IFERROR(VLOOKUP(A142,Main!A:E,3,0),0)</f>
        <v>Sajjaad Khader</v>
      </c>
      <c r="L142">
        <f>IFERROR(VLOOKUP(A142,Main!A:E,4,0),0)</f>
        <v>51.2</v>
      </c>
      <c r="M142">
        <f>IFERROR(VLOOKUP(A142,Main!A:E,5,0),0)</f>
        <v>55</v>
      </c>
    </row>
    <row r="143" spans="1:13" x14ac:dyDescent="0.25">
      <c r="A143" t="s">
        <v>246</v>
      </c>
      <c r="B143" t="s">
        <v>353</v>
      </c>
      <c r="C143" t="s">
        <v>27</v>
      </c>
      <c r="D143">
        <v>50.8</v>
      </c>
      <c r="E143">
        <v>46</v>
      </c>
      <c r="F143">
        <v>55</v>
      </c>
      <c r="G143">
        <v>50</v>
      </c>
      <c r="H143">
        <v>58</v>
      </c>
      <c r="I143">
        <v>45</v>
      </c>
      <c r="J143">
        <v>211</v>
      </c>
      <c r="K143" t="str">
        <f>IFERROR(VLOOKUP(A143,Main!A:E,3,0),0)</f>
        <v>BEPEC</v>
      </c>
      <c r="L143">
        <f>IFERROR(VLOOKUP(A143,Main!A:E,4,0),0)</f>
        <v>50.8</v>
      </c>
      <c r="M143">
        <f>IFERROR(VLOOKUP(A143,Main!A:E,5,0),0)</f>
        <v>46</v>
      </c>
    </row>
    <row r="144" spans="1:13" x14ac:dyDescent="0.25">
      <c r="A144" t="s">
        <v>29</v>
      </c>
      <c r="B144" t="s">
        <v>317</v>
      </c>
      <c r="C144" t="s">
        <v>30</v>
      </c>
      <c r="D144">
        <v>50.8</v>
      </c>
      <c r="E144">
        <v>46</v>
      </c>
      <c r="F144">
        <v>60</v>
      </c>
      <c r="G144">
        <v>50</v>
      </c>
      <c r="H144">
        <v>50</v>
      </c>
      <c r="I144">
        <v>48</v>
      </c>
      <c r="J144">
        <v>236</v>
      </c>
      <c r="K144" t="str">
        <f>IFERROR(VLOOKUP(A144,Main!A:E,3,0),0)</f>
        <v>Intellipaat</v>
      </c>
      <c r="L144">
        <f>IFERROR(VLOOKUP(A144,Main!A:E,4,0),0)</f>
        <v>50.8</v>
      </c>
      <c r="M144">
        <f>IFERROR(VLOOKUP(A144,Main!A:E,5,0),0)</f>
        <v>46</v>
      </c>
    </row>
    <row r="145" spans="1:13" x14ac:dyDescent="0.25">
      <c r="A145" t="s">
        <v>251</v>
      </c>
      <c r="B145" t="s">
        <v>366</v>
      </c>
      <c r="C145" t="s">
        <v>252</v>
      </c>
      <c r="D145">
        <v>50.6</v>
      </c>
      <c r="E145">
        <v>43</v>
      </c>
      <c r="F145">
        <v>55</v>
      </c>
      <c r="G145">
        <v>55</v>
      </c>
      <c r="H145">
        <v>50</v>
      </c>
      <c r="I145">
        <v>50</v>
      </c>
      <c r="J145">
        <v>225</v>
      </c>
      <c r="K145" t="str">
        <f>IFERROR(VLOOKUP(A145,Main!A:E,3,0),0)</f>
        <v>DecisionForest</v>
      </c>
      <c r="L145">
        <f>IFERROR(VLOOKUP(A145,Main!A:E,4,0),0)</f>
        <v>50.6</v>
      </c>
      <c r="M145">
        <f>IFERROR(VLOOKUP(A145,Main!A:E,5,0),0)</f>
        <v>43</v>
      </c>
    </row>
    <row r="146" spans="1:13" x14ac:dyDescent="0.25">
      <c r="A146" t="s">
        <v>263</v>
      </c>
      <c r="B146" t="s">
        <v>316</v>
      </c>
      <c r="C146" t="s">
        <v>52</v>
      </c>
      <c r="D146">
        <v>50.6</v>
      </c>
      <c r="E146">
        <v>58</v>
      </c>
      <c r="F146">
        <v>50</v>
      </c>
      <c r="G146">
        <v>50</v>
      </c>
      <c r="H146">
        <v>50</v>
      </c>
      <c r="I146">
        <v>45</v>
      </c>
      <c r="J146">
        <v>150</v>
      </c>
      <c r="K146" t="str">
        <f>IFERROR(VLOOKUP(A146,Main!A:E,3,0),0)</f>
        <v>Simplilearn</v>
      </c>
      <c r="L146">
        <f>IFERROR(VLOOKUP(A146,Main!A:E,4,0),0)</f>
        <v>50.6</v>
      </c>
      <c r="M146">
        <f>IFERROR(VLOOKUP(A146,Main!A:E,5,0),0)</f>
        <v>58</v>
      </c>
    </row>
    <row r="147" spans="1:13" x14ac:dyDescent="0.25">
      <c r="A147" t="s">
        <v>179</v>
      </c>
      <c r="B147" t="s">
        <v>367</v>
      </c>
      <c r="C147" t="s">
        <v>180</v>
      </c>
      <c r="D147">
        <v>50.4</v>
      </c>
      <c r="E147">
        <v>52</v>
      </c>
      <c r="F147">
        <v>60</v>
      </c>
      <c r="G147">
        <v>45</v>
      </c>
      <c r="H147">
        <v>50</v>
      </c>
      <c r="I147">
        <v>45</v>
      </c>
      <c r="J147">
        <v>169</v>
      </c>
      <c r="K147" t="str">
        <f>IFERROR(VLOOKUP(A147,Main!A:E,3,0),0)</f>
        <v>What's AI by Louis-François Bouchard</v>
      </c>
      <c r="L147">
        <f>IFERROR(VLOOKUP(A147,Main!A:E,4,0),0)</f>
        <v>50.4</v>
      </c>
      <c r="M147">
        <f>IFERROR(VLOOKUP(A147,Main!A:E,5,0),0)</f>
        <v>52</v>
      </c>
    </row>
    <row r="148" spans="1:13" x14ac:dyDescent="0.25">
      <c r="A148" t="s">
        <v>298</v>
      </c>
      <c r="B148" t="s">
        <v>353</v>
      </c>
      <c r="C148" t="s">
        <v>27</v>
      </c>
      <c r="D148">
        <v>50.4</v>
      </c>
      <c r="E148">
        <v>49</v>
      </c>
      <c r="F148">
        <v>50</v>
      </c>
      <c r="G148">
        <v>45</v>
      </c>
      <c r="H148">
        <v>58</v>
      </c>
      <c r="I148">
        <v>50</v>
      </c>
      <c r="J148">
        <v>249</v>
      </c>
      <c r="K148" t="str">
        <f>IFERROR(VLOOKUP(A148,Main!A:E,3,0),0)</f>
        <v>BEPEC</v>
      </c>
      <c r="L148">
        <f>IFERROR(VLOOKUP(A148,Main!A:E,4,0),0)</f>
        <v>50.4</v>
      </c>
      <c r="M148">
        <f>IFERROR(VLOOKUP(A148,Main!A:E,5,0),0)</f>
        <v>49</v>
      </c>
    </row>
    <row r="149" spans="1:13" x14ac:dyDescent="0.25">
      <c r="A149" t="s">
        <v>243</v>
      </c>
      <c r="B149" t="s">
        <v>338</v>
      </c>
      <c r="C149" t="s">
        <v>61</v>
      </c>
      <c r="D149">
        <v>50.4</v>
      </c>
      <c r="E149">
        <v>43</v>
      </c>
      <c r="F149">
        <v>55</v>
      </c>
      <c r="G149">
        <v>45</v>
      </c>
      <c r="H149">
        <v>54</v>
      </c>
      <c r="I149">
        <v>55</v>
      </c>
      <c r="J149">
        <v>242</v>
      </c>
      <c r="K149" t="str">
        <f>IFERROR(VLOOKUP(A149,Main!A:E,3,0),0)</f>
        <v>Sundas Khalid</v>
      </c>
      <c r="L149">
        <f>IFERROR(VLOOKUP(A149,Main!A:E,4,0),0)</f>
        <v>50.4</v>
      </c>
      <c r="M149">
        <f>IFERROR(VLOOKUP(A149,Main!A:E,5,0),0)</f>
        <v>43</v>
      </c>
    </row>
    <row r="150" spans="1:13" x14ac:dyDescent="0.25">
      <c r="A150" t="s">
        <v>202</v>
      </c>
      <c r="B150" t="s">
        <v>329</v>
      </c>
      <c r="C150" t="s">
        <v>23</v>
      </c>
      <c r="D150">
        <v>50.4</v>
      </c>
      <c r="E150">
        <v>49</v>
      </c>
      <c r="F150">
        <v>55</v>
      </c>
      <c r="G150">
        <v>45</v>
      </c>
      <c r="H150">
        <v>58</v>
      </c>
      <c r="I150">
        <v>45</v>
      </c>
      <c r="J150">
        <v>173</v>
      </c>
      <c r="K150" t="str">
        <f>IFERROR(VLOOKUP(A150,Main!A:E,3,0),0)</f>
        <v>Luke Barousse</v>
      </c>
      <c r="L150">
        <f>IFERROR(VLOOKUP(A150,Main!A:E,4,0),0)</f>
        <v>50.4</v>
      </c>
      <c r="M150">
        <f>IFERROR(VLOOKUP(A150,Main!A:E,5,0),0)</f>
        <v>49</v>
      </c>
    </row>
    <row r="151" spans="1:13" x14ac:dyDescent="0.25">
      <c r="A151" t="s">
        <v>306</v>
      </c>
      <c r="B151" t="s">
        <v>326</v>
      </c>
      <c r="C151" t="s">
        <v>6</v>
      </c>
      <c r="D151">
        <v>49.8</v>
      </c>
      <c r="E151">
        <v>49</v>
      </c>
      <c r="F151">
        <v>60</v>
      </c>
      <c r="G151">
        <v>45</v>
      </c>
      <c r="H151">
        <v>50</v>
      </c>
      <c r="I151">
        <v>45</v>
      </c>
      <c r="J151">
        <v>151</v>
      </c>
      <c r="K151" t="str">
        <f>IFERROR(VLOOKUP(A151,Main!A:E,3,0),0)</f>
        <v>codebasics</v>
      </c>
      <c r="L151">
        <f>IFERROR(VLOOKUP(A151,Main!A:E,4,0),0)</f>
        <v>49.8</v>
      </c>
      <c r="M151">
        <f>IFERROR(VLOOKUP(A151,Main!A:E,5,0),0)</f>
        <v>49</v>
      </c>
    </row>
    <row r="152" spans="1:13" x14ac:dyDescent="0.25">
      <c r="A152" t="s">
        <v>123</v>
      </c>
      <c r="B152" t="s">
        <v>316</v>
      </c>
      <c r="C152" t="s">
        <v>52</v>
      </c>
      <c r="D152">
        <v>49.8</v>
      </c>
      <c r="E152">
        <v>49</v>
      </c>
      <c r="F152">
        <v>50</v>
      </c>
      <c r="G152">
        <v>50</v>
      </c>
      <c r="H152">
        <v>50</v>
      </c>
      <c r="I152">
        <v>50</v>
      </c>
      <c r="J152">
        <v>129</v>
      </c>
      <c r="K152" t="str">
        <f>IFERROR(VLOOKUP(A152,Main!A:E,3,0),0)</f>
        <v>Simplilearn</v>
      </c>
      <c r="L152">
        <f>IFERROR(VLOOKUP(A152,Main!A:E,4,0),0)</f>
        <v>49.8</v>
      </c>
      <c r="M152">
        <f>IFERROR(VLOOKUP(A152,Main!A:E,5,0),0)</f>
        <v>49</v>
      </c>
    </row>
    <row r="153" spans="1:13" x14ac:dyDescent="0.25">
      <c r="A153" t="s">
        <v>183</v>
      </c>
      <c r="B153" t="s">
        <v>330</v>
      </c>
      <c r="C153" t="s">
        <v>176</v>
      </c>
      <c r="D153">
        <v>49.8</v>
      </c>
      <c r="E153">
        <v>49</v>
      </c>
      <c r="F153">
        <v>50</v>
      </c>
      <c r="G153">
        <v>55</v>
      </c>
      <c r="H153">
        <v>50</v>
      </c>
      <c r="I153">
        <v>45</v>
      </c>
      <c r="J153">
        <v>113</v>
      </c>
      <c r="K153" t="str">
        <f>IFERROR(VLOOKUP(A153,Main!A:E,3,0),0)</f>
        <v>IBM Technology</v>
      </c>
      <c r="L153">
        <f>IFERROR(VLOOKUP(A153,Main!A:E,4,0),0)</f>
        <v>49.8</v>
      </c>
      <c r="M153">
        <f>IFERROR(VLOOKUP(A153,Main!A:E,5,0),0)</f>
        <v>49</v>
      </c>
    </row>
    <row r="154" spans="1:13" x14ac:dyDescent="0.25">
      <c r="A154" t="s">
        <v>58</v>
      </c>
      <c r="B154" t="s">
        <v>368</v>
      </c>
      <c r="C154" t="s">
        <v>59</v>
      </c>
      <c r="D154">
        <v>49.6</v>
      </c>
      <c r="E154">
        <v>61</v>
      </c>
      <c r="F154">
        <v>55</v>
      </c>
      <c r="G154">
        <v>45</v>
      </c>
      <c r="H154">
        <v>42</v>
      </c>
      <c r="I154">
        <v>45</v>
      </c>
      <c r="J154">
        <v>94</v>
      </c>
      <c r="K154" t="str">
        <f>IFERROR(VLOOKUP(A154,Main!A:E,3,0),0)</f>
        <v>Jovian</v>
      </c>
      <c r="L154">
        <f>IFERROR(VLOOKUP(A154,Main!A:E,4,0),0)</f>
        <v>49.6</v>
      </c>
      <c r="M154">
        <f>IFERROR(VLOOKUP(A154,Main!A:E,5,0),0)</f>
        <v>61</v>
      </c>
    </row>
    <row r="155" spans="1:13" x14ac:dyDescent="0.25">
      <c r="A155" t="s">
        <v>104</v>
      </c>
      <c r="B155" t="s">
        <v>365</v>
      </c>
      <c r="C155" t="s">
        <v>105</v>
      </c>
      <c r="D155">
        <v>49.6</v>
      </c>
      <c r="E155">
        <v>53</v>
      </c>
      <c r="F155">
        <v>50</v>
      </c>
      <c r="G155">
        <v>50</v>
      </c>
      <c r="H155">
        <v>50</v>
      </c>
      <c r="I155">
        <v>45</v>
      </c>
      <c r="J155">
        <v>155</v>
      </c>
      <c r="K155" t="str">
        <f>IFERROR(VLOOKUP(A155,Main!A:E,3,0),0)</f>
        <v>Data with Zach</v>
      </c>
      <c r="L155">
        <f>IFERROR(VLOOKUP(A155,Main!A:E,4,0),0)</f>
        <v>49.6</v>
      </c>
      <c r="M155">
        <f>IFERROR(VLOOKUP(A155,Main!A:E,5,0),0)</f>
        <v>53</v>
      </c>
    </row>
    <row r="156" spans="1:13" x14ac:dyDescent="0.25">
      <c r="A156" t="s">
        <v>213</v>
      </c>
      <c r="B156" t="s">
        <v>338</v>
      </c>
      <c r="C156" t="s">
        <v>61</v>
      </c>
      <c r="D156">
        <v>49.6</v>
      </c>
      <c r="E156">
        <v>49</v>
      </c>
      <c r="F156">
        <v>50</v>
      </c>
      <c r="G156">
        <v>50</v>
      </c>
      <c r="H156">
        <v>54</v>
      </c>
      <c r="I156">
        <v>45</v>
      </c>
      <c r="J156">
        <v>241</v>
      </c>
      <c r="K156" t="str">
        <f>IFERROR(VLOOKUP(A156,Main!A:E,3,0),0)</f>
        <v>Sundas Khalid</v>
      </c>
      <c r="L156">
        <f>IFERROR(VLOOKUP(A156,Main!A:E,4,0),0)</f>
        <v>49.6</v>
      </c>
      <c r="M156">
        <f>IFERROR(VLOOKUP(A156,Main!A:E,5,0),0)</f>
        <v>49</v>
      </c>
    </row>
    <row r="157" spans="1:13" x14ac:dyDescent="0.25">
      <c r="A157" t="s">
        <v>86</v>
      </c>
      <c r="B157" t="s">
        <v>353</v>
      </c>
      <c r="C157" t="s">
        <v>27</v>
      </c>
      <c r="D157">
        <v>49.4</v>
      </c>
      <c r="E157">
        <v>43</v>
      </c>
      <c r="F157">
        <v>50</v>
      </c>
      <c r="G157">
        <v>50</v>
      </c>
      <c r="H157">
        <v>54</v>
      </c>
      <c r="I157">
        <v>50</v>
      </c>
      <c r="J157">
        <v>238</v>
      </c>
      <c r="K157" t="str">
        <f>IFERROR(VLOOKUP(A157,Main!A:E,3,0),0)</f>
        <v>BEPEC</v>
      </c>
      <c r="L157">
        <f>IFERROR(VLOOKUP(A157,Main!A:E,4,0),0)</f>
        <v>49.4</v>
      </c>
      <c r="M157">
        <f>IFERROR(VLOOKUP(A157,Main!A:E,5,0),0)</f>
        <v>43</v>
      </c>
    </row>
    <row r="158" spans="1:13" x14ac:dyDescent="0.25">
      <c r="A158" t="s">
        <v>233</v>
      </c>
      <c r="B158" t="s">
        <v>369</v>
      </c>
      <c r="C158" t="s">
        <v>187</v>
      </c>
      <c r="D158">
        <v>49.4</v>
      </c>
      <c r="E158">
        <v>43</v>
      </c>
      <c r="F158">
        <v>50</v>
      </c>
      <c r="G158">
        <v>50</v>
      </c>
      <c r="H158">
        <v>54</v>
      </c>
      <c r="I158">
        <v>50</v>
      </c>
      <c r="J158">
        <v>160</v>
      </c>
      <c r="K158" t="str">
        <f>IFERROR(VLOOKUP(A158,Main!A:E,3,0),0)</f>
        <v>Tech Stories in 2 Minutes</v>
      </c>
      <c r="L158">
        <f>IFERROR(VLOOKUP(A158,Main!A:E,4,0),0)</f>
        <v>49.4</v>
      </c>
      <c r="M158">
        <f>IFERROR(VLOOKUP(A158,Main!A:E,5,0),0)</f>
        <v>43</v>
      </c>
    </row>
    <row r="159" spans="1:13" x14ac:dyDescent="0.25">
      <c r="A159" t="s">
        <v>233</v>
      </c>
      <c r="B159" t="s">
        <v>369</v>
      </c>
      <c r="C159" t="s">
        <v>187</v>
      </c>
      <c r="D159">
        <v>49.4</v>
      </c>
      <c r="E159">
        <v>43</v>
      </c>
      <c r="F159">
        <v>50</v>
      </c>
      <c r="G159">
        <v>50</v>
      </c>
      <c r="H159">
        <v>54</v>
      </c>
      <c r="I159">
        <v>50</v>
      </c>
      <c r="J159">
        <v>160</v>
      </c>
      <c r="K159" t="str">
        <f>IFERROR(VLOOKUP(A159,Main!A:E,3,0),0)</f>
        <v>Tech Stories in 2 Minutes</v>
      </c>
      <c r="L159">
        <f>IFERROR(VLOOKUP(A159,Main!A:E,4,0),0)</f>
        <v>49.4</v>
      </c>
      <c r="M159">
        <f>IFERROR(VLOOKUP(A159,Main!A:E,5,0),0)</f>
        <v>43</v>
      </c>
    </row>
    <row r="160" spans="1:13" x14ac:dyDescent="0.25">
      <c r="A160" t="s">
        <v>178</v>
      </c>
      <c r="B160" t="s">
        <v>317</v>
      </c>
      <c r="C160" t="s">
        <v>30</v>
      </c>
      <c r="D160">
        <v>49.4</v>
      </c>
      <c r="E160">
        <v>52</v>
      </c>
      <c r="F160">
        <v>50</v>
      </c>
      <c r="G160">
        <v>50</v>
      </c>
      <c r="H160">
        <v>50</v>
      </c>
      <c r="I160">
        <v>45</v>
      </c>
      <c r="J160">
        <v>162</v>
      </c>
      <c r="K160" t="str">
        <f>IFERROR(VLOOKUP(A160,Main!A:E,3,0),0)</f>
        <v>Intellipaat</v>
      </c>
      <c r="L160">
        <f>IFERROR(VLOOKUP(A160,Main!A:E,4,0),0)</f>
        <v>49.4</v>
      </c>
      <c r="M160">
        <f>IFERROR(VLOOKUP(A160,Main!A:E,5,0),0)</f>
        <v>52</v>
      </c>
    </row>
    <row r="161" spans="1:13" x14ac:dyDescent="0.25">
      <c r="A161" t="s">
        <v>74</v>
      </c>
      <c r="B161" t="s">
        <v>338</v>
      </c>
      <c r="C161" t="s">
        <v>61</v>
      </c>
      <c r="D161">
        <v>49.2</v>
      </c>
      <c r="E161">
        <v>46</v>
      </c>
      <c r="F161">
        <v>60</v>
      </c>
      <c r="G161">
        <v>45</v>
      </c>
      <c r="H161">
        <v>50</v>
      </c>
      <c r="I161">
        <v>45</v>
      </c>
      <c r="J161">
        <v>180</v>
      </c>
      <c r="K161" t="str">
        <f>IFERROR(VLOOKUP(A161,Main!A:E,3,0),0)</f>
        <v>Sundas Khalid</v>
      </c>
      <c r="L161">
        <f>IFERROR(VLOOKUP(A161,Main!A:E,4,0),0)</f>
        <v>49.2</v>
      </c>
      <c r="M161">
        <f>IFERROR(VLOOKUP(A161,Main!A:E,5,0),0)</f>
        <v>46</v>
      </c>
    </row>
    <row r="162" spans="1:13" x14ac:dyDescent="0.25">
      <c r="A162" t="s">
        <v>102</v>
      </c>
      <c r="B162" t="s">
        <v>316</v>
      </c>
      <c r="C162" t="s">
        <v>52</v>
      </c>
      <c r="D162">
        <v>49.2</v>
      </c>
      <c r="E162">
        <v>46</v>
      </c>
      <c r="F162">
        <v>55</v>
      </c>
      <c r="G162">
        <v>45</v>
      </c>
      <c r="H162">
        <v>50</v>
      </c>
      <c r="I162">
        <v>50</v>
      </c>
      <c r="J162">
        <v>117</v>
      </c>
      <c r="K162" t="str">
        <f>IFERROR(VLOOKUP(A162,Main!A:E,3,0),0)</f>
        <v>Simplilearn</v>
      </c>
      <c r="L162">
        <f>IFERROR(VLOOKUP(A162,Main!A:E,4,0),0)</f>
        <v>49.2</v>
      </c>
      <c r="M162">
        <f>IFERROR(VLOOKUP(A162,Main!A:E,5,0),0)</f>
        <v>46</v>
      </c>
    </row>
    <row r="163" spans="1:13" x14ac:dyDescent="0.25">
      <c r="A163" t="s">
        <v>102</v>
      </c>
      <c r="B163" t="s">
        <v>316</v>
      </c>
      <c r="C163" t="s">
        <v>52</v>
      </c>
      <c r="D163">
        <v>49.2</v>
      </c>
      <c r="E163">
        <v>46</v>
      </c>
      <c r="F163">
        <v>55</v>
      </c>
      <c r="G163">
        <v>45</v>
      </c>
      <c r="H163">
        <v>50</v>
      </c>
      <c r="I163">
        <v>50</v>
      </c>
      <c r="J163">
        <v>117</v>
      </c>
      <c r="K163" t="str">
        <f>IFERROR(VLOOKUP(A163,Main!A:E,3,0),0)</f>
        <v>Simplilearn</v>
      </c>
      <c r="L163">
        <f>IFERROR(VLOOKUP(A163,Main!A:E,4,0),0)</f>
        <v>49.2</v>
      </c>
      <c r="M163">
        <f>IFERROR(VLOOKUP(A163,Main!A:E,5,0),0)</f>
        <v>46</v>
      </c>
    </row>
    <row r="164" spans="1:13" x14ac:dyDescent="0.25">
      <c r="A164" t="s">
        <v>173</v>
      </c>
      <c r="B164" t="s">
        <v>318</v>
      </c>
      <c r="C164" t="s">
        <v>174</v>
      </c>
      <c r="D164">
        <v>49.2</v>
      </c>
      <c r="E164">
        <v>46</v>
      </c>
      <c r="F164">
        <v>50</v>
      </c>
      <c r="G164">
        <v>55</v>
      </c>
      <c r="H164">
        <v>50</v>
      </c>
      <c r="I164">
        <v>45</v>
      </c>
      <c r="J164">
        <v>155</v>
      </c>
      <c r="K164" t="str">
        <f>IFERROR(VLOOKUP(A164,Main!A:E,3,0),0)</f>
        <v>Marina Wyss - AI &amp; Machine Learning</v>
      </c>
      <c r="L164">
        <f>IFERROR(VLOOKUP(A164,Main!A:E,4,0),0)</f>
        <v>49.2</v>
      </c>
      <c r="M164">
        <f>IFERROR(VLOOKUP(A164,Main!A:E,5,0),0)</f>
        <v>46</v>
      </c>
    </row>
    <row r="165" spans="1:13" x14ac:dyDescent="0.25">
      <c r="A165" t="s">
        <v>244</v>
      </c>
      <c r="B165" t="s">
        <v>370</v>
      </c>
      <c r="C165" t="s">
        <v>245</v>
      </c>
      <c r="D165">
        <v>49.2</v>
      </c>
      <c r="E165">
        <v>46</v>
      </c>
      <c r="F165">
        <v>50</v>
      </c>
      <c r="G165">
        <v>55</v>
      </c>
      <c r="H165">
        <v>50</v>
      </c>
      <c r="I165">
        <v>45</v>
      </c>
      <c r="J165">
        <v>123</v>
      </c>
      <c r="K165" t="str">
        <f>IFERROR(VLOOKUP(A165,Main!A:E,3,0),0)</f>
        <v>INTTRVU</v>
      </c>
      <c r="L165">
        <f>IFERROR(VLOOKUP(A165,Main!A:E,4,0),0)</f>
        <v>49.2</v>
      </c>
      <c r="M165">
        <f>IFERROR(VLOOKUP(A165,Main!A:E,5,0),0)</f>
        <v>46</v>
      </c>
    </row>
    <row r="166" spans="1:13" x14ac:dyDescent="0.25">
      <c r="A166" t="s">
        <v>40</v>
      </c>
      <c r="B166" t="s">
        <v>371</v>
      </c>
      <c r="C166" t="s">
        <v>41</v>
      </c>
      <c r="D166">
        <v>48.8</v>
      </c>
      <c r="E166">
        <v>46</v>
      </c>
      <c r="F166">
        <v>50</v>
      </c>
      <c r="G166">
        <v>45</v>
      </c>
      <c r="H166">
        <v>58</v>
      </c>
      <c r="I166">
        <v>45</v>
      </c>
      <c r="J166">
        <v>172</v>
      </c>
      <c r="K166" t="str">
        <f>IFERROR(VLOOKUP(A166,Main!A:E,3,0),0)</f>
        <v>CareerFoundry</v>
      </c>
      <c r="L166">
        <f>IFERROR(VLOOKUP(A166,Main!A:E,4,0),0)</f>
        <v>48.8</v>
      </c>
      <c r="M166">
        <f>IFERROR(VLOOKUP(A166,Main!A:E,5,0),0)</f>
        <v>46</v>
      </c>
    </row>
    <row r="167" spans="1:13" x14ac:dyDescent="0.25">
      <c r="A167" t="s">
        <v>303</v>
      </c>
      <c r="B167" t="s">
        <v>326</v>
      </c>
      <c r="C167" t="s">
        <v>6</v>
      </c>
      <c r="D167">
        <v>48.6</v>
      </c>
      <c r="E167">
        <v>49</v>
      </c>
      <c r="F167">
        <v>50</v>
      </c>
      <c r="G167">
        <v>45</v>
      </c>
      <c r="H167">
        <v>54</v>
      </c>
      <c r="I167">
        <v>45</v>
      </c>
      <c r="J167">
        <v>134</v>
      </c>
      <c r="K167" t="str">
        <f>IFERROR(VLOOKUP(A167,Main!A:E,3,0),0)</f>
        <v>codebasics</v>
      </c>
      <c r="L167">
        <f>IFERROR(VLOOKUP(A167,Main!A:E,4,0),0)</f>
        <v>48.6</v>
      </c>
      <c r="M167">
        <f>IFERROR(VLOOKUP(A167,Main!A:E,5,0),0)</f>
        <v>49</v>
      </c>
    </row>
    <row r="168" spans="1:13" x14ac:dyDescent="0.25">
      <c r="A168" t="s">
        <v>186</v>
      </c>
      <c r="B168" t="s">
        <v>369</v>
      </c>
      <c r="C168" t="s">
        <v>187</v>
      </c>
      <c r="D168">
        <v>48.4</v>
      </c>
      <c r="E168">
        <v>43</v>
      </c>
      <c r="F168">
        <v>55</v>
      </c>
      <c r="G168">
        <v>45</v>
      </c>
      <c r="H168">
        <v>54</v>
      </c>
      <c r="I168">
        <v>45</v>
      </c>
      <c r="J168">
        <v>159</v>
      </c>
      <c r="K168" t="str">
        <f>IFERROR(VLOOKUP(A168,Main!A:E,3,0),0)</f>
        <v>Tech Stories in 2 Minutes</v>
      </c>
      <c r="L168">
        <f>IFERROR(VLOOKUP(A168,Main!A:E,4,0),0)</f>
        <v>48.4</v>
      </c>
      <c r="M168">
        <f>IFERROR(VLOOKUP(A168,Main!A:E,5,0),0)</f>
        <v>43</v>
      </c>
    </row>
    <row r="169" spans="1:13" x14ac:dyDescent="0.25">
      <c r="A169" t="s">
        <v>269</v>
      </c>
      <c r="B169" t="s">
        <v>372</v>
      </c>
      <c r="C169" t="s">
        <v>270</v>
      </c>
      <c r="D169">
        <v>48.4</v>
      </c>
      <c r="E169">
        <v>43</v>
      </c>
      <c r="F169">
        <v>55</v>
      </c>
      <c r="G169">
        <v>45</v>
      </c>
      <c r="H169">
        <v>54</v>
      </c>
      <c r="I169">
        <v>45</v>
      </c>
      <c r="J169">
        <v>243</v>
      </c>
      <c r="K169" t="str">
        <f>IFERROR(VLOOKUP(A169,Main!A:E,3,0),0)</f>
        <v>Salary Transparent Street</v>
      </c>
      <c r="L169">
        <f>IFERROR(VLOOKUP(A169,Main!A:E,4,0),0)</f>
        <v>48.4</v>
      </c>
      <c r="M169">
        <f>IFERROR(VLOOKUP(A169,Main!A:E,5,0),0)</f>
        <v>43</v>
      </c>
    </row>
    <row r="170" spans="1:13" x14ac:dyDescent="0.25">
      <c r="A170" t="s">
        <v>264</v>
      </c>
      <c r="B170" t="s">
        <v>317</v>
      </c>
      <c r="C170" t="s">
        <v>30</v>
      </c>
      <c r="D170">
        <v>48.4</v>
      </c>
      <c r="E170">
        <v>43</v>
      </c>
      <c r="F170">
        <v>55</v>
      </c>
      <c r="G170">
        <v>45</v>
      </c>
      <c r="H170">
        <v>54</v>
      </c>
      <c r="I170">
        <v>45</v>
      </c>
      <c r="J170">
        <v>261</v>
      </c>
      <c r="K170" t="str">
        <f>IFERROR(VLOOKUP(A170,Main!A:E,3,0),0)</f>
        <v>Intellipaat</v>
      </c>
      <c r="L170">
        <f>IFERROR(VLOOKUP(A170,Main!A:E,4,0),0)</f>
        <v>48.4</v>
      </c>
      <c r="M170">
        <f>IFERROR(VLOOKUP(A170,Main!A:E,5,0),0)</f>
        <v>43</v>
      </c>
    </row>
    <row r="171" spans="1:13" x14ac:dyDescent="0.25">
      <c r="A171" t="s">
        <v>304</v>
      </c>
      <c r="B171" t="s">
        <v>373</v>
      </c>
      <c r="C171" t="s">
        <v>305</v>
      </c>
      <c r="D171">
        <v>48.2</v>
      </c>
      <c r="E171">
        <v>43</v>
      </c>
      <c r="F171">
        <v>55</v>
      </c>
      <c r="G171">
        <v>45</v>
      </c>
      <c r="H171">
        <v>50</v>
      </c>
      <c r="I171">
        <v>48</v>
      </c>
      <c r="J171">
        <v>106</v>
      </c>
      <c r="K171" t="str">
        <f>IFERROR(VLOOKUP(A171,Main!A:E,3,0),0)</f>
        <v>Shaw Talebi</v>
      </c>
      <c r="L171">
        <f>IFERROR(VLOOKUP(A171,Main!A:E,4,0),0)</f>
        <v>48.2</v>
      </c>
      <c r="M171">
        <f>IFERROR(VLOOKUP(A171,Main!A:E,5,0),0)</f>
        <v>43</v>
      </c>
    </row>
    <row r="172" spans="1:13" x14ac:dyDescent="0.25">
      <c r="A172" t="s">
        <v>170</v>
      </c>
      <c r="B172" t="s">
        <v>374</v>
      </c>
      <c r="C172" t="s">
        <v>171</v>
      </c>
      <c r="D172">
        <v>48</v>
      </c>
      <c r="E172">
        <v>43</v>
      </c>
      <c r="F172">
        <v>60</v>
      </c>
      <c r="G172">
        <v>45</v>
      </c>
      <c r="H172">
        <v>38</v>
      </c>
      <c r="I172">
        <v>54</v>
      </c>
      <c r="J172">
        <v>90</v>
      </c>
      <c r="K172" t="str">
        <f>IFERROR(VLOOKUP(A172,Main!A:E,3,0),0)</f>
        <v>Anshul Sethi</v>
      </c>
      <c r="L172">
        <f>IFERROR(VLOOKUP(A172,Main!A:E,4,0),0)</f>
        <v>48</v>
      </c>
      <c r="M172">
        <f>IFERROR(VLOOKUP(A172,Main!A:E,5,0),0)</f>
        <v>43</v>
      </c>
    </row>
    <row r="173" spans="1:13" x14ac:dyDescent="0.25">
      <c r="A173" t="s">
        <v>54</v>
      </c>
      <c r="B173" t="s">
        <v>375</v>
      </c>
      <c r="C173" t="s">
        <v>55</v>
      </c>
      <c r="D173">
        <v>47.8</v>
      </c>
      <c r="E173">
        <v>49</v>
      </c>
      <c r="F173">
        <v>50</v>
      </c>
      <c r="G173">
        <v>45</v>
      </c>
      <c r="H173">
        <v>50</v>
      </c>
      <c r="I173">
        <v>45</v>
      </c>
      <c r="J173">
        <v>189</v>
      </c>
      <c r="K173" t="str">
        <f>IFERROR(VLOOKUP(A173,Main!A:E,3,0),0)</f>
        <v>The Street Wire</v>
      </c>
      <c r="L173">
        <f>IFERROR(VLOOKUP(A173,Main!A:E,4,0),0)</f>
        <v>47.8</v>
      </c>
      <c r="M173">
        <f>IFERROR(VLOOKUP(A173,Main!A:E,5,0),0)</f>
        <v>49</v>
      </c>
    </row>
    <row r="174" spans="1:13" x14ac:dyDescent="0.25">
      <c r="A174" t="s">
        <v>54</v>
      </c>
      <c r="B174" t="s">
        <v>375</v>
      </c>
      <c r="C174" t="s">
        <v>55</v>
      </c>
      <c r="D174">
        <v>47.8</v>
      </c>
      <c r="E174">
        <v>49</v>
      </c>
      <c r="F174">
        <v>50</v>
      </c>
      <c r="G174">
        <v>45</v>
      </c>
      <c r="H174">
        <v>50</v>
      </c>
      <c r="I174">
        <v>45</v>
      </c>
      <c r="J174">
        <v>189</v>
      </c>
      <c r="K174" t="str">
        <f>IFERROR(VLOOKUP(A174,Main!A:E,3,0),0)</f>
        <v>The Street Wire</v>
      </c>
      <c r="L174">
        <f>IFERROR(VLOOKUP(A174,Main!A:E,4,0),0)</f>
        <v>47.8</v>
      </c>
      <c r="M174">
        <f>IFERROR(VLOOKUP(A174,Main!A:E,5,0),0)</f>
        <v>49</v>
      </c>
    </row>
    <row r="175" spans="1:13" x14ac:dyDescent="0.25">
      <c r="A175" t="s">
        <v>260</v>
      </c>
      <c r="B175" t="s">
        <v>326</v>
      </c>
      <c r="C175" t="s">
        <v>6</v>
      </c>
      <c r="D175">
        <v>47.8</v>
      </c>
      <c r="E175">
        <v>49</v>
      </c>
      <c r="F175">
        <v>50</v>
      </c>
      <c r="G175">
        <v>45</v>
      </c>
      <c r="H175">
        <v>50</v>
      </c>
      <c r="I175">
        <v>45</v>
      </c>
      <c r="J175">
        <v>129</v>
      </c>
      <c r="K175" t="str">
        <f>IFERROR(VLOOKUP(A175,Main!A:E,3,0),0)</f>
        <v>codebasics</v>
      </c>
      <c r="L175">
        <f>IFERROR(VLOOKUP(A175,Main!A:E,4,0),0)</f>
        <v>47.8</v>
      </c>
      <c r="M175">
        <f>IFERROR(VLOOKUP(A175,Main!A:E,5,0),0)</f>
        <v>49</v>
      </c>
    </row>
    <row r="176" spans="1:13" x14ac:dyDescent="0.25">
      <c r="A176" t="s">
        <v>260</v>
      </c>
      <c r="B176" t="s">
        <v>326</v>
      </c>
      <c r="C176" t="s">
        <v>6</v>
      </c>
      <c r="D176">
        <v>47.8</v>
      </c>
      <c r="E176">
        <v>49</v>
      </c>
      <c r="F176">
        <v>50</v>
      </c>
      <c r="G176">
        <v>45</v>
      </c>
      <c r="H176">
        <v>50</v>
      </c>
      <c r="I176">
        <v>45</v>
      </c>
      <c r="J176">
        <v>129</v>
      </c>
      <c r="K176" t="str">
        <f>IFERROR(VLOOKUP(A176,Main!A:E,3,0),0)</f>
        <v>codebasics</v>
      </c>
      <c r="L176">
        <f>IFERROR(VLOOKUP(A176,Main!A:E,4,0),0)</f>
        <v>47.8</v>
      </c>
      <c r="M176">
        <f>IFERROR(VLOOKUP(A176,Main!A:E,5,0),0)</f>
        <v>49</v>
      </c>
    </row>
    <row r="177" spans="1:13" x14ac:dyDescent="0.25">
      <c r="A177" t="s">
        <v>70</v>
      </c>
      <c r="B177" t="s">
        <v>376</v>
      </c>
      <c r="C177" t="s">
        <v>71</v>
      </c>
      <c r="D177">
        <v>47.4</v>
      </c>
      <c r="E177">
        <v>49</v>
      </c>
      <c r="F177">
        <v>60</v>
      </c>
      <c r="G177">
        <v>50</v>
      </c>
      <c r="H177">
        <v>30</v>
      </c>
      <c r="I177">
        <v>48</v>
      </c>
      <c r="J177">
        <v>62</v>
      </c>
      <c r="K177" t="str">
        <f>IFERROR(VLOOKUP(A177,Main!A:E,3,0),0)</f>
        <v>DataMites</v>
      </c>
      <c r="L177">
        <f>IFERROR(VLOOKUP(A177,Main!A:E,4,0),0)</f>
        <v>47.4</v>
      </c>
      <c r="M177">
        <f>IFERROR(VLOOKUP(A177,Main!A:E,5,0),0)</f>
        <v>49</v>
      </c>
    </row>
    <row r="178" spans="1:13" x14ac:dyDescent="0.25">
      <c r="A178" t="s">
        <v>26</v>
      </c>
      <c r="B178" t="s">
        <v>353</v>
      </c>
      <c r="C178" t="s">
        <v>27</v>
      </c>
      <c r="D178">
        <v>46.8</v>
      </c>
      <c r="E178">
        <v>49</v>
      </c>
      <c r="F178">
        <v>50</v>
      </c>
      <c r="G178">
        <v>55</v>
      </c>
      <c r="H178">
        <v>30</v>
      </c>
      <c r="I178">
        <v>50</v>
      </c>
      <c r="J178">
        <v>95</v>
      </c>
      <c r="K178" t="str">
        <f>IFERROR(VLOOKUP(A178,Main!A:E,3,0),0)</f>
        <v>BEPEC</v>
      </c>
      <c r="L178">
        <f>IFERROR(VLOOKUP(A178,Main!A:E,4,0),0)</f>
        <v>46.8</v>
      </c>
      <c r="M178">
        <f>IFERROR(VLOOKUP(A178,Main!A:E,5,0),0)</f>
        <v>49</v>
      </c>
    </row>
    <row r="179" spans="1:13" x14ac:dyDescent="0.25">
      <c r="A179" t="s">
        <v>68</v>
      </c>
      <c r="B179" t="s">
        <v>338</v>
      </c>
      <c r="C179" t="s">
        <v>61</v>
      </c>
      <c r="D179">
        <v>46.8</v>
      </c>
      <c r="E179">
        <v>55</v>
      </c>
      <c r="F179">
        <v>50</v>
      </c>
      <c r="G179">
        <v>50</v>
      </c>
      <c r="H179">
        <v>34</v>
      </c>
      <c r="I179">
        <v>45</v>
      </c>
      <c r="J179">
        <v>86</v>
      </c>
      <c r="K179" t="str">
        <f>IFERROR(VLOOKUP(A179,Main!A:E,3,0),0)</f>
        <v>Sundas Khalid</v>
      </c>
      <c r="L179">
        <f>IFERROR(VLOOKUP(A179,Main!A:E,4,0),0)</f>
        <v>46.8</v>
      </c>
      <c r="M179">
        <f>IFERROR(VLOOKUP(A179,Main!A:E,5,0),0)</f>
        <v>55</v>
      </c>
    </row>
    <row r="180" spans="1:13" x14ac:dyDescent="0.25">
      <c r="A180" t="s">
        <v>94</v>
      </c>
      <c r="B180" t="s">
        <v>329</v>
      </c>
      <c r="C180" t="s">
        <v>23</v>
      </c>
      <c r="D180">
        <v>46.6</v>
      </c>
      <c r="E180">
        <v>43</v>
      </c>
      <c r="F180">
        <v>50</v>
      </c>
      <c r="G180">
        <v>45</v>
      </c>
      <c r="H180">
        <v>50</v>
      </c>
      <c r="I180">
        <v>45</v>
      </c>
      <c r="J180">
        <v>159</v>
      </c>
      <c r="K180" t="str">
        <f>IFERROR(VLOOKUP(A180,Main!A:E,3,0),0)</f>
        <v>Luke Barousse</v>
      </c>
      <c r="L180">
        <f>IFERROR(VLOOKUP(A180,Main!A:E,4,0),0)</f>
        <v>46.6</v>
      </c>
      <c r="M180">
        <f>IFERROR(VLOOKUP(A180,Main!A:E,5,0),0)</f>
        <v>43</v>
      </c>
    </row>
    <row r="181" spans="1:13" x14ac:dyDescent="0.25">
      <c r="A181" t="s">
        <v>79</v>
      </c>
      <c r="B181" t="s">
        <v>338</v>
      </c>
      <c r="C181" t="s">
        <v>61</v>
      </c>
      <c r="D181">
        <v>46.4</v>
      </c>
      <c r="E181">
        <v>43</v>
      </c>
      <c r="F181">
        <v>60</v>
      </c>
      <c r="G181">
        <v>50</v>
      </c>
      <c r="H181">
        <v>34</v>
      </c>
      <c r="I181">
        <v>45</v>
      </c>
      <c r="J181">
        <v>76</v>
      </c>
      <c r="K181" t="str">
        <f>IFERROR(VLOOKUP(A181,Main!A:E,3,0),0)</f>
        <v>Sundas Khalid</v>
      </c>
      <c r="L181">
        <f>IFERROR(VLOOKUP(A181,Main!A:E,4,0),0)</f>
        <v>46.4</v>
      </c>
      <c r="M181">
        <f>IFERROR(VLOOKUP(A181,Main!A:E,5,0),0)</f>
        <v>43</v>
      </c>
    </row>
    <row r="182" spans="1:13" x14ac:dyDescent="0.25">
      <c r="A182" t="s">
        <v>53</v>
      </c>
      <c r="B182" t="s">
        <v>316</v>
      </c>
      <c r="C182" t="s">
        <v>52</v>
      </c>
      <c r="D182">
        <v>46</v>
      </c>
      <c r="E182">
        <v>40</v>
      </c>
      <c r="F182">
        <v>50</v>
      </c>
      <c r="G182">
        <v>45</v>
      </c>
      <c r="H182">
        <v>50</v>
      </c>
      <c r="I182">
        <v>45</v>
      </c>
      <c r="J182">
        <v>141</v>
      </c>
      <c r="K182" t="str">
        <f>IFERROR(VLOOKUP(A182,Main!A:E,3,0),0)</f>
        <v>Simplilearn</v>
      </c>
      <c r="L182">
        <f>IFERROR(VLOOKUP(A182,Main!A:E,4,0),0)</f>
        <v>46</v>
      </c>
      <c r="M182">
        <f>IFERROR(VLOOKUP(A182,Main!A:E,5,0),0)</f>
        <v>40</v>
      </c>
    </row>
    <row r="183" spans="1:13" x14ac:dyDescent="0.25">
      <c r="A183" t="s">
        <v>155</v>
      </c>
      <c r="B183" t="s">
        <v>377</v>
      </c>
      <c r="C183" t="s">
        <v>378</v>
      </c>
      <c r="D183">
        <v>45.4</v>
      </c>
      <c r="E183">
        <v>52</v>
      </c>
      <c r="F183">
        <v>50</v>
      </c>
      <c r="G183">
        <v>50</v>
      </c>
      <c r="H183">
        <v>30</v>
      </c>
      <c r="I183">
        <v>45</v>
      </c>
      <c r="J183">
        <v>50</v>
      </c>
      <c r="K183" t="str">
        <f>IFERROR(VLOOKUP(A183,Main!A:E,3,0),0)</f>
        <v xml:space="preserve">Career With Riwas </v>
      </c>
      <c r="L183">
        <f>IFERROR(VLOOKUP(A183,Main!A:E,4,0),0)</f>
        <v>45.4</v>
      </c>
      <c r="M183">
        <f>IFERROR(VLOOKUP(A183,Main!A:E,5,0),0)</f>
        <v>52</v>
      </c>
    </row>
    <row r="184" spans="1:13" x14ac:dyDescent="0.25">
      <c r="A184" t="e">
        <f>-kYYzotfYfE</f>
        <v>#NAME?</v>
      </c>
      <c r="B184" t="s">
        <v>379</v>
      </c>
      <c r="C184" t="s">
        <v>14</v>
      </c>
      <c r="D184">
        <v>44.4</v>
      </c>
      <c r="E184">
        <v>52</v>
      </c>
      <c r="F184">
        <v>50</v>
      </c>
      <c r="G184">
        <v>45</v>
      </c>
      <c r="H184">
        <v>30</v>
      </c>
      <c r="I184">
        <v>45</v>
      </c>
      <c r="J184">
        <v>38</v>
      </c>
      <c r="K184">
        <f>IFERROR(VLOOKUP(A184,Main!A:E,3,0),0)</f>
        <v>0</v>
      </c>
      <c r="L184">
        <f>IFERROR(VLOOKUP(A184,Main!A:E,4,0),0)</f>
        <v>0</v>
      </c>
      <c r="M184">
        <f>IFERROR(VLOOKUP(A184,Main!A:E,5,0),0)</f>
        <v>0</v>
      </c>
    </row>
    <row r="185" spans="1:13" x14ac:dyDescent="0.25">
      <c r="A185" t="s">
        <v>99</v>
      </c>
      <c r="B185" t="s">
        <v>338</v>
      </c>
      <c r="C185" t="s">
        <v>61</v>
      </c>
      <c r="D185">
        <v>43.8</v>
      </c>
      <c r="E185">
        <v>49</v>
      </c>
      <c r="F185">
        <v>50</v>
      </c>
      <c r="G185">
        <v>45</v>
      </c>
      <c r="H185">
        <v>30</v>
      </c>
      <c r="I185">
        <v>45</v>
      </c>
      <c r="J185">
        <v>76</v>
      </c>
      <c r="K185" t="str">
        <f>IFERROR(VLOOKUP(A185,Main!A:E,3,0),0)</f>
        <v>Sundas Khalid</v>
      </c>
      <c r="L185">
        <f>IFERROR(VLOOKUP(A185,Main!A:E,4,0),0)</f>
        <v>43.8</v>
      </c>
      <c r="M185">
        <f>IFERROR(VLOOKUP(A185,Main!A:E,5,0),0)</f>
        <v>49</v>
      </c>
    </row>
    <row r="186" spans="1:13" x14ac:dyDescent="0.25">
      <c r="A186" t="s">
        <v>60</v>
      </c>
      <c r="B186" t="s">
        <v>338</v>
      </c>
      <c r="C186" t="s">
        <v>61</v>
      </c>
      <c r="D186">
        <v>43.2</v>
      </c>
      <c r="E186">
        <v>46</v>
      </c>
      <c r="F186">
        <v>50</v>
      </c>
      <c r="G186">
        <v>45</v>
      </c>
      <c r="H186">
        <v>30</v>
      </c>
      <c r="I186">
        <v>45</v>
      </c>
      <c r="J186">
        <v>52</v>
      </c>
      <c r="K186" t="str">
        <f>IFERROR(VLOOKUP(A186,Main!A:E,3,0),0)</f>
        <v>Sundas Khalid</v>
      </c>
      <c r="L186">
        <f>IFERROR(VLOOKUP(A186,Main!A:E,4,0),0)</f>
        <v>43.2</v>
      </c>
      <c r="M186">
        <f>IFERROR(VLOOKUP(A186,Main!A:E,5,0),0)</f>
        <v>46</v>
      </c>
    </row>
    <row r="187" spans="1:13" x14ac:dyDescent="0.25">
      <c r="A187" t="s">
        <v>60</v>
      </c>
      <c r="B187" t="s">
        <v>338</v>
      </c>
      <c r="C187" t="s">
        <v>61</v>
      </c>
      <c r="D187">
        <v>43.2</v>
      </c>
      <c r="E187">
        <v>46</v>
      </c>
      <c r="F187">
        <v>50</v>
      </c>
      <c r="G187">
        <v>45</v>
      </c>
      <c r="H187">
        <v>30</v>
      </c>
      <c r="I187">
        <v>45</v>
      </c>
      <c r="J187">
        <v>52</v>
      </c>
      <c r="K187" t="str">
        <f>IFERROR(VLOOKUP(A187,Main!A:E,3,0),0)</f>
        <v>Sundas Khalid</v>
      </c>
      <c r="L187">
        <f>IFERROR(VLOOKUP(A187,Main!A:E,4,0),0)</f>
        <v>43.2</v>
      </c>
      <c r="M187">
        <f>IFERROR(VLOOKUP(A187,Main!A:E,5,0),0)</f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Lenovo</cp:lastModifiedBy>
  <dcterms:created xsi:type="dcterms:W3CDTF">2026-01-01T22:28:13Z</dcterms:created>
  <dcterms:modified xsi:type="dcterms:W3CDTF">2026-01-01T22:33:10Z</dcterms:modified>
</cp:coreProperties>
</file>